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ndregrau/Desktop/Thesis/To-Dos/"/>
    </mc:Choice>
  </mc:AlternateContent>
  <xr:revisionPtr revIDLastSave="0" documentId="13_ncr:1_{54230A0B-53FC-DA4B-AE9D-0EEB1AE3C987}" xr6:coauthVersionLast="47" xr6:coauthVersionMax="47" xr10:uidLastSave="{00000000-0000-0000-0000-000000000000}"/>
  <bookViews>
    <workbookView xWindow="-20" yWindow="500" windowWidth="28800" windowHeight="17500" activeTab="3" xr2:uid="{00000000-000D-0000-FFFF-FFFF00000000}"/>
  </bookViews>
  <sheets>
    <sheet name="Retail" sheetId="2" r:id="rId1"/>
    <sheet name="Büro" sheetId="3" r:id="rId2"/>
    <sheet name="Logistikzentrum" sheetId="1" r:id="rId3"/>
    <sheet name="Autobahn" sheetId="4" r:id="rId4"/>
    <sheet name="Industrie" sheetId="5" r:id="rId5"/>
  </sheets>
  <definedNames>
    <definedName name="_xlchart.v1.0" hidden="1">Autobahn!$A$7</definedName>
    <definedName name="_xlchart.v1.1" hidden="1">Autobahn!$A$8:$A$93</definedName>
    <definedName name="_xlchart.v1.10" hidden="1">Autobahn!$A$7</definedName>
    <definedName name="_xlchart.v1.11" hidden="1">Autobahn!$A$8:$A$93</definedName>
    <definedName name="_xlchart.v1.12" hidden="1">Autobahn!$B$7</definedName>
    <definedName name="_xlchart.v1.13" hidden="1">Autobahn!$B$8:$B$93</definedName>
    <definedName name="_xlchart.v1.14" hidden="1">Autobahn!$C$7</definedName>
    <definedName name="_xlchart.v1.15" hidden="1">Autobahn!$C$8:$C$93</definedName>
    <definedName name="_xlchart.v1.16" hidden="1">Autobahn!$D$7</definedName>
    <definedName name="_xlchart.v1.17" hidden="1">Autobahn!$D$8:$D$93</definedName>
    <definedName name="_xlchart.v1.18" hidden="1">Autobahn!$E$7</definedName>
    <definedName name="_xlchart.v1.19" hidden="1">Autobahn!$E$8:$E$93</definedName>
    <definedName name="_xlchart.v1.2" hidden="1">Autobahn!$B$7</definedName>
    <definedName name="_xlchart.v1.3" hidden="1">Autobahn!$B$8:$B$93</definedName>
    <definedName name="_xlchart.v1.4" hidden="1">Autobahn!$C$7</definedName>
    <definedName name="_xlchart.v1.5" hidden="1">Autobahn!$C$8:$C$93</definedName>
    <definedName name="_xlchart.v1.6" hidden="1">Autobahn!$D$7</definedName>
    <definedName name="_xlchart.v1.7" hidden="1">Autobahn!$D$8:$D$93</definedName>
    <definedName name="_xlchart.v1.8" hidden="1">Autobahn!$E$7</definedName>
    <definedName name="_xlchart.v1.9" hidden="1">Autobahn!$E$8:$E$93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3" i="4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8" i="2"/>
  <c r="E94" i="2" l="1"/>
  <c r="L3" i="3" l="1"/>
  <c r="L3" i="2"/>
  <c r="C8" i="2"/>
  <c r="C56" i="3" l="1"/>
  <c r="C59" i="3"/>
  <c r="C60" i="3"/>
  <c r="C63" i="3"/>
  <c r="C64" i="3"/>
  <c r="C67" i="3"/>
  <c r="C68" i="3"/>
  <c r="C71" i="3"/>
  <c r="C72" i="3"/>
  <c r="C75" i="3"/>
  <c r="C76" i="3"/>
  <c r="C79" i="3"/>
  <c r="C80" i="3"/>
  <c r="C83" i="3"/>
  <c r="C84" i="3"/>
  <c r="C87" i="3"/>
  <c r="C88" i="3"/>
  <c r="C91" i="3"/>
  <c r="C92" i="3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" i="1"/>
  <c r="A10" i="1" s="1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1" i="2"/>
  <c r="A92" i="2"/>
  <c r="A93" i="2" s="1"/>
  <c r="A84" i="2"/>
  <c r="A85" i="2"/>
  <c r="A86" i="2" s="1"/>
  <c r="A73" i="2"/>
  <c r="A74" i="2"/>
  <c r="A75" i="2" s="1"/>
  <c r="A56" i="2"/>
  <c r="A57" i="2"/>
  <c r="A58" i="2" s="1"/>
  <c r="C8" i="4"/>
  <c r="C8" i="5"/>
  <c r="B8" i="5"/>
  <c r="B5" i="5"/>
  <c r="D2" i="5"/>
  <c r="C56" i="5" s="1"/>
  <c r="B2" i="5"/>
  <c r="B56" i="5" s="1"/>
  <c r="B8" i="4"/>
  <c r="B5" i="4"/>
  <c r="D2" i="4"/>
  <c r="C72" i="4" s="1"/>
  <c r="B2" i="4"/>
  <c r="B62" i="4" s="1"/>
  <c r="C8" i="3"/>
  <c r="B8" i="3"/>
  <c r="B5" i="3"/>
  <c r="D2" i="3"/>
  <c r="C61" i="3" s="1"/>
  <c r="B2" i="3"/>
  <c r="B62" i="3" s="1"/>
  <c r="A9" i="2"/>
  <c r="B8" i="2"/>
  <c r="B5" i="2"/>
  <c r="D2" i="2"/>
  <c r="B2" i="2"/>
  <c r="B2" i="1"/>
  <c r="D2" i="1"/>
  <c r="C8" i="1"/>
  <c r="B8" i="1"/>
  <c r="B5" i="1"/>
  <c r="B59" i="3" l="1"/>
  <c r="B56" i="3"/>
  <c r="C85" i="5"/>
  <c r="C62" i="5"/>
  <c r="C86" i="5"/>
  <c r="C78" i="5"/>
  <c r="C77" i="5"/>
  <c r="C70" i="5"/>
  <c r="C69" i="5"/>
  <c r="C93" i="5"/>
  <c r="C61" i="5"/>
  <c r="C87" i="5"/>
  <c r="C79" i="5"/>
  <c r="C71" i="5"/>
  <c r="C63" i="5"/>
  <c r="C58" i="5"/>
  <c r="C91" i="5"/>
  <c r="C75" i="5"/>
  <c r="C59" i="5"/>
  <c r="C82" i="5"/>
  <c r="C66" i="5"/>
  <c r="C89" i="5"/>
  <c r="C81" i="5"/>
  <c r="C73" i="5"/>
  <c r="C65" i="5"/>
  <c r="C57" i="5"/>
  <c r="D56" i="5"/>
  <c r="C92" i="5"/>
  <c r="C84" i="5"/>
  <c r="C76" i="5"/>
  <c r="C68" i="5"/>
  <c r="C60" i="5"/>
  <c r="C83" i="5"/>
  <c r="C67" i="5"/>
  <c r="C90" i="5"/>
  <c r="C74" i="5"/>
  <c r="C88" i="5"/>
  <c r="C80" i="5"/>
  <c r="C72" i="5"/>
  <c r="C64" i="5"/>
  <c r="B74" i="5"/>
  <c r="B91" i="5"/>
  <c r="B78" i="5"/>
  <c r="B75" i="5"/>
  <c r="B62" i="5"/>
  <c r="D62" i="5" s="1"/>
  <c r="B59" i="5"/>
  <c r="B84" i="5"/>
  <c r="D84" i="5" s="1"/>
  <c r="B81" i="5"/>
  <c r="D81" i="5" s="1"/>
  <c r="B68" i="5"/>
  <c r="D68" i="5" s="1"/>
  <c r="B65" i="5"/>
  <c r="B93" i="5"/>
  <c r="B77" i="5"/>
  <c r="B61" i="5"/>
  <c r="B86" i="5"/>
  <c r="D86" i="5" s="1"/>
  <c r="B92" i="5"/>
  <c r="B89" i="5"/>
  <c r="D89" i="5" s="1"/>
  <c r="B76" i="5"/>
  <c r="D76" i="5" s="1"/>
  <c r="B73" i="5"/>
  <c r="B60" i="5"/>
  <c r="B57" i="5"/>
  <c r="B87" i="5"/>
  <c r="B71" i="5"/>
  <c r="B58" i="5"/>
  <c r="B64" i="5"/>
  <c r="B83" i="5"/>
  <c r="B67" i="5"/>
  <c r="B82" i="5"/>
  <c r="B79" i="5"/>
  <c r="B66" i="5"/>
  <c r="D66" i="5" s="1"/>
  <c r="B63" i="5"/>
  <c r="B90" i="5"/>
  <c r="B80" i="5"/>
  <c r="D80" i="5" s="1"/>
  <c r="B70" i="5"/>
  <c r="B88" i="5"/>
  <c r="B85" i="5"/>
  <c r="D85" i="5" s="1"/>
  <c r="B72" i="5"/>
  <c r="B69" i="5"/>
  <c r="B69" i="4"/>
  <c r="B85" i="4"/>
  <c r="B82" i="4"/>
  <c r="B72" i="4"/>
  <c r="D72" i="4" s="1"/>
  <c r="B59" i="4"/>
  <c r="D59" i="4" s="1"/>
  <c r="B88" i="4"/>
  <c r="D88" i="4" s="1"/>
  <c r="B93" i="4"/>
  <c r="B79" i="4"/>
  <c r="C58" i="4"/>
  <c r="C85" i="4"/>
  <c r="D85" i="4" s="1"/>
  <c r="C68" i="4"/>
  <c r="C65" i="4"/>
  <c r="C62" i="4"/>
  <c r="D62" i="4" s="1"/>
  <c r="C78" i="4"/>
  <c r="C91" i="4"/>
  <c r="C75" i="4"/>
  <c r="C59" i="4"/>
  <c r="C88" i="4"/>
  <c r="C90" i="4"/>
  <c r="B81" i="4"/>
  <c r="C64" i="4"/>
  <c r="C61" i="4"/>
  <c r="B58" i="4"/>
  <c r="D58" i="4" s="1"/>
  <c r="B92" i="4"/>
  <c r="B89" i="4"/>
  <c r="C82" i="4"/>
  <c r="C79" i="4"/>
  <c r="B76" i="4"/>
  <c r="B73" i="4"/>
  <c r="C69" i="4"/>
  <c r="D69" i="4" s="1"/>
  <c r="B66" i="4"/>
  <c r="B63" i="4"/>
  <c r="B56" i="4"/>
  <c r="C93" i="4"/>
  <c r="B90" i="4"/>
  <c r="B87" i="4"/>
  <c r="C80" i="4"/>
  <c r="C77" i="4"/>
  <c r="B74" i="4"/>
  <c r="B71" i="4"/>
  <c r="C67" i="4"/>
  <c r="B64" i="4"/>
  <c r="B61" i="4"/>
  <c r="C57" i="4"/>
  <c r="B91" i="4"/>
  <c r="C84" i="4"/>
  <c r="B78" i="4"/>
  <c r="B65" i="4"/>
  <c r="C87" i="4"/>
  <c r="C74" i="4"/>
  <c r="C86" i="4"/>
  <c r="C83" i="4"/>
  <c r="B80" i="4"/>
  <c r="B77" i="4"/>
  <c r="C70" i="4"/>
  <c r="B67" i="4"/>
  <c r="C60" i="4"/>
  <c r="B57" i="4"/>
  <c r="C81" i="4"/>
  <c r="B75" i="4"/>
  <c r="B68" i="4"/>
  <c r="B84" i="4"/>
  <c r="C71" i="4"/>
  <c r="C92" i="4"/>
  <c r="C89" i="4"/>
  <c r="B86" i="4"/>
  <c r="B83" i="4"/>
  <c r="C76" i="4"/>
  <c r="C73" i="4"/>
  <c r="B70" i="4"/>
  <c r="C66" i="4"/>
  <c r="C63" i="4"/>
  <c r="B60" i="4"/>
  <c r="C56" i="4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C10" i="1"/>
  <c r="C57" i="3"/>
  <c r="D59" i="3"/>
  <c r="C90" i="3"/>
  <c r="C86" i="3"/>
  <c r="C82" i="3"/>
  <c r="C78" i="3"/>
  <c r="C74" i="3"/>
  <c r="C70" i="3"/>
  <c r="C66" i="3"/>
  <c r="C62" i="3"/>
  <c r="C58" i="3"/>
  <c r="D56" i="3"/>
  <c r="D62" i="3"/>
  <c r="C93" i="3"/>
  <c r="C89" i="3"/>
  <c r="C85" i="3"/>
  <c r="C81" i="3"/>
  <c r="C77" i="3"/>
  <c r="C73" i="3"/>
  <c r="C69" i="3"/>
  <c r="C65" i="3"/>
  <c r="B82" i="3"/>
  <c r="D82" i="3" s="1"/>
  <c r="B73" i="3"/>
  <c r="D73" i="3" s="1"/>
  <c r="B91" i="3"/>
  <c r="D91" i="3" s="1"/>
  <c r="B93" i="3"/>
  <c r="B87" i="3"/>
  <c r="D87" i="3" s="1"/>
  <c r="B80" i="3"/>
  <c r="D80" i="3" s="1"/>
  <c r="B71" i="3"/>
  <c r="D71" i="3" s="1"/>
  <c r="B64" i="3"/>
  <c r="D64" i="3" s="1"/>
  <c r="B57" i="3"/>
  <c r="D57" i="3" s="1"/>
  <c r="B75" i="3"/>
  <c r="D75" i="3" s="1"/>
  <c r="B70" i="3"/>
  <c r="D70" i="3" s="1"/>
  <c r="B61" i="3"/>
  <c r="D61" i="3" s="1"/>
  <c r="B81" i="3"/>
  <c r="D81" i="3" s="1"/>
  <c r="B65" i="3"/>
  <c r="B58" i="3"/>
  <c r="D58" i="3" s="1"/>
  <c r="B84" i="3"/>
  <c r="D84" i="3" s="1"/>
  <c r="B68" i="3"/>
  <c r="D68" i="3" s="1"/>
  <c r="B77" i="3"/>
  <c r="D77" i="3" s="1"/>
  <c r="B79" i="3"/>
  <c r="D79" i="3" s="1"/>
  <c r="B72" i="3"/>
  <c r="D72" i="3" s="1"/>
  <c r="B63" i="3"/>
  <c r="D63" i="3" s="1"/>
  <c r="B92" i="3"/>
  <c r="D92" i="3" s="1"/>
  <c r="B83" i="3"/>
  <c r="D83" i="3" s="1"/>
  <c r="B76" i="3"/>
  <c r="D76" i="3" s="1"/>
  <c r="B67" i="3"/>
  <c r="D67" i="3" s="1"/>
  <c r="B60" i="3"/>
  <c r="D60" i="3" s="1"/>
  <c r="B89" i="3"/>
  <c r="B66" i="3"/>
  <c r="D66" i="3" s="1"/>
  <c r="B86" i="3"/>
  <c r="B88" i="3"/>
  <c r="D88" i="3" s="1"/>
  <c r="B90" i="3"/>
  <c r="D90" i="3" s="1"/>
  <c r="B74" i="3"/>
  <c r="B85" i="3"/>
  <c r="D85" i="3" s="1"/>
  <c r="B78" i="3"/>
  <c r="D78" i="3" s="1"/>
  <c r="B69" i="3"/>
  <c r="C9" i="2"/>
  <c r="C17" i="2"/>
  <c r="C25" i="2"/>
  <c r="C33" i="2"/>
  <c r="C41" i="2"/>
  <c r="C49" i="2"/>
  <c r="C57" i="2"/>
  <c r="C65" i="2"/>
  <c r="C73" i="2"/>
  <c r="C81" i="2"/>
  <c r="C89" i="2"/>
  <c r="C68" i="2"/>
  <c r="C84" i="2"/>
  <c r="D84" i="2" s="1"/>
  <c r="C21" i="2"/>
  <c r="C37" i="2"/>
  <c r="C61" i="2"/>
  <c r="C85" i="2"/>
  <c r="C22" i="2"/>
  <c r="C54" i="2"/>
  <c r="C86" i="2"/>
  <c r="C31" i="2"/>
  <c r="C47" i="2"/>
  <c r="C71" i="2"/>
  <c r="C10" i="2"/>
  <c r="C18" i="2"/>
  <c r="C26" i="2"/>
  <c r="C34" i="2"/>
  <c r="C42" i="2"/>
  <c r="C50" i="2"/>
  <c r="C58" i="2"/>
  <c r="C66" i="2"/>
  <c r="C74" i="2"/>
  <c r="C82" i="2"/>
  <c r="C90" i="2"/>
  <c r="C52" i="2"/>
  <c r="C92" i="2"/>
  <c r="C29" i="2"/>
  <c r="C45" i="2"/>
  <c r="C53" i="2"/>
  <c r="C69" i="2"/>
  <c r="C93" i="2"/>
  <c r="C30" i="2"/>
  <c r="C62" i="2"/>
  <c r="C63" i="2"/>
  <c r="C79" i="2"/>
  <c r="C11" i="2"/>
  <c r="C19" i="2"/>
  <c r="C27" i="2"/>
  <c r="C35" i="2"/>
  <c r="C43" i="2"/>
  <c r="C51" i="2"/>
  <c r="C59" i="2"/>
  <c r="C67" i="2"/>
  <c r="C75" i="2"/>
  <c r="C83" i="2"/>
  <c r="C91" i="2"/>
  <c r="C12" i="2"/>
  <c r="C20" i="2"/>
  <c r="C28" i="2"/>
  <c r="C36" i="2"/>
  <c r="C44" i="2"/>
  <c r="C60" i="2"/>
  <c r="C76" i="2"/>
  <c r="C13" i="2"/>
  <c r="C77" i="2"/>
  <c r="C14" i="2"/>
  <c r="C46" i="2"/>
  <c r="C70" i="2"/>
  <c r="C15" i="2"/>
  <c r="C39" i="2"/>
  <c r="C87" i="2"/>
  <c r="C16" i="2"/>
  <c r="C24" i="2"/>
  <c r="C32" i="2"/>
  <c r="C40" i="2"/>
  <c r="C48" i="2"/>
  <c r="C56" i="2"/>
  <c r="C64" i="2"/>
  <c r="C72" i="2"/>
  <c r="C80" i="2"/>
  <c r="C88" i="2"/>
  <c r="C38" i="2"/>
  <c r="C78" i="2"/>
  <c r="C23" i="2"/>
  <c r="C55" i="2"/>
  <c r="B74" i="2"/>
  <c r="B11" i="2"/>
  <c r="B19" i="2"/>
  <c r="B27" i="2"/>
  <c r="B35" i="2"/>
  <c r="B29" i="2"/>
  <c r="B15" i="2"/>
  <c r="B32" i="2"/>
  <c r="B33" i="2"/>
  <c r="B34" i="2"/>
  <c r="B12" i="2"/>
  <c r="B20" i="2"/>
  <c r="B28" i="2"/>
  <c r="B23" i="2"/>
  <c r="B24" i="2"/>
  <c r="B25" i="2"/>
  <c r="B26" i="2"/>
  <c r="B13" i="2"/>
  <c r="B21" i="2"/>
  <c r="B14" i="2"/>
  <c r="B22" i="2"/>
  <c r="B30" i="2"/>
  <c r="B31" i="2"/>
  <c r="B16" i="2"/>
  <c r="B17" i="2"/>
  <c r="B18" i="2"/>
  <c r="B9" i="2"/>
  <c r="B10" i="2"/>
  <c r="B57" i="2"/>
  <c r="B73" i="2"/>
  <c r="D73" i="2" s="1"/>
  <c r="B84" i="2"/>
  <c r="B91" i="2"/>
  <c r="B56" i="2"/>
  <c r="B93" i="2"/>
  <c r="B92" i="2"/>
  <c r="B86" i="2"/>
  <c r="A87" i="2"/>
  <c r="B85" i="2"/>
  <c r="D85" i="2" s="1"/>
  <c r="B75" i="2"/>
  <c r="A76" i="2"/>
  <c r="D74" i="2"/>
  <c r="B58" i="2"/>
  <c r="A59" i="2"/>
  <c r="D8" i="1"/>
  <c r="C9" i="5"/>
  <c r="B10" i="5"/>
  <c r="C9" i="3"/>
  <c r="C10" i="4"/>
  <c r="C9" i="4"/>
  <c r="D8" i="4"/>
  <c r="B9" i="5"/>
  <c r="D8" i="5"/>
  <c r="C10" i="5"/>
  <c r="B10" i="4"/>
  <c r="B9" i="4"/>
  <c r="D8" i="3"/>
  <c r="C10" i="3"/>
  <c r="B10" i="3"/>
  <c r="B9" i="3"/>
  <c r="D8" i="2"/>
  <c r="A10" i="2"/>
  <c r="C9" i="1"/>
  <c r="B10" i="1"/>
  <c r="B9" i="1"/>
  <c r="D79" i="5" l="1"/>
  <c r="D70" i="5"/>
  <c r="D88" i="5"/>
  <c r="D71" i="5"/>
  <c r="D73" i="5"/>
  <c r="D65" i="5"/>
  <c r="D91" i="5"/>
  <c r="D77" i="5"/>
  <c r="D78" i="5"/>
  <c r="D82" i="5"/>
  <c r="D93" i="5"/>
  <c r="D90" i="5"/>
  <c r="D92" i="5"/>
  <c r="D59" i="5"/>
  <c r="D74" i="5"/>
  <c r="D69" i="5"/>
  <c r="D87" i="5"/>
  <c r="D61" i="5"/>
  <c r="D60" i="5"/>
  <c r="D67" i="5"/>
  <c r="D83" i="5"/>
  <c r="D63" i="5"/>
  <c r="D58" i="5"/>
  <c r="D64" i="5"/>
  <c r="D72" i="5"/>
  <c r="D57" i="5"/>
  <c r="D75" i="5"/>
  <c r="D10" i="1"/>
  <c r="D75" i="4"/>
  <c r="D86" i="4"/>
  <c r="D78" i="4"/>
  <c r="D73" i="4"/>
  <c r="D84" i="4"/>
  <c r="D82" i="4"/>
  <c r="D93" i="4"/>
  <c r="D79" i="4"/>
  <c r="D83" i="4"/>
  <c r="D65" i="4"/>
  <c r="D87" i="4"/>
  <c r="D60" i="4"/>
  <c r="D90" i="4"/>
  <c r="D76" i="4"/>
  <c r="D81" i="4"/>
  <c r="D68" i="4"/>
  <c r="D67" i="4"/>
  <c r="D80" i="4"/>
  <c r="D91" i="4"/>
  <c r="D70" i="4"/>
  <c r="D61" i="4"/>
  <c r="D66" i="4"/>
  <c r="D71" i="4"/>
  <c r="D57" i="4"/>
  <c r="D77" i="4"/>
  <c r="D74" i="4"/>
  <c r="D56" i="4"/>
  <c r="D89" i="4"/>
  <c r="D64" i="4"/>
  <c r="D63" i="4"/>
  <c r="D92" i="4"/>
  <c r="A57" i="1"/>
  <c r="C56" i="1"/>
  <c r="B56" i="1"/>
  <c r="D69" i="3"/>
  <c r="D89" i="3"/>
  <c r="D65" i="3"/>
  <c r="D74" i="3"/>
  <c r="D86" i="3"/>
  <c r="D93" i="3"/>
  <c r="C94" i="2"/>
  <c r="D91" i="2"/>
  <c r="D56" i="2"/>
  <c r="D57" i="2"/>
  <c r="D86" i="2"/>
  <c r="D92" i="2"/>
  <c r="D93" i="2"/>
  <c r="B87" i="2"/>
  <c r="A88" i="2"/>
  <c r="D75" i="2"/>
  <c r="B76" i="2"/>
  <c r="A77" i="2"/>
  <c r="B59" i="2"/>
  <c r="A60" i="2"/>
  <c r="D58" i="2"/>
  <c r="D9" i="1"/>
  <c r="D9" i="5"/>
  <c r="D9" i="3"/>
  <c r="D9" i="4"/>
  <c r="D10" i="4"/>
  <c r="D9" i="2"/>
  <c r="B11" i="5"/>
  <c r="C11" i="5"/>
  <c r="D10" i="5"/>
  <c r="B11" i="4"/>
  <c r="C11" i="4"/>
  <c r="D10" i="3"/>
  <c r="B11" i="3"/>
  <c r="C11" i="3"/>
  <c r="A11" i="2"/>
  <c r="C11" i="1"/>
  <c r="B11" i="1"/>
  <c r="D56" i="1" l="1"/>
  <c r="A58" i="1"/>
  <c r="B57" i="1"/>
  <c r="C57" i="1"/>
  <c r="B88" i="2"/>
  <c r="A89" i="2"/>
  <c r="D87" i="2"/>
  <c r="A78" i="2"/>
  <c r="B77" i="2"/>
  <c r="D76" i="2"/>
  <c r="A61" i="2"/>
  <c r="B60" i="2"/>
  <c r="D60" i="2" s="1"/>
  <c r="D59" i="2"/>
  <c r="D11" i="5"/>
  <c r="D10" i="2"/>
  <c r="C12" i="5"/>
  <c r="B12" i="5"/>
  <c r="B12" i="4"/>
  <c r="C12" i="4"/>
  <c r="D11" i="4"/>
  <c r="D11" i="3"/>
  <c r="C12" i="3"/>
  <c r="B12" i="3"/>
  <c r="A12" i="2"/>
  <c r="D11" i="1"/>
  <c r="C12" i="1"/>
  <c r="B12" i="1"/>
  <c r="D57" i="1" l="1"/>
  <c r="A59" i="1"/>
  <c r="B58" i="1"/>
  <c r="C58" i="1"/>
  <c r="D77" i="2"/>
  <c r="A90" i="2"/>
  <c r="B89" i="2"/>
  <c r="D88" i="2"/>
  <c r="B78" i="2"/>
  <c r="A79" i="2"/>
  <c r="B61" i="2"/>
  <c r="A62" i="2"/>
  <c r="B13" i="5"/>
  <c r="C13" i="5"/>
  <c r="D12" i="5"/>
  <c r="C13" i="4"/>
  <c r="B13" i="4"/>
  <c r="D12" i="4"/>
  <c r="D12" i="3"/>
  <c r="C13" i="3"/>
  <c r="B13" i="3"/>
  <c r="A13" i="2"/>
  <c r="D11" i="2"/>
  <c r="D12" i="1"/>
  <c r="C13" i="1"/>
  <c r="B13" i="1"/>
  <c r="D58" i="1" l="1"/>
  <c r="A60" i="1"/>
  <c r="B59" i="1"/>
  <c r="C59" i="1"/>
  <c r="D89" i="2"/>
  <c r="D78" i="2"/>
  <c r="B90" i="2"/>
  <c r="A80" i="2"/>
  <c r="B79" i="2"/>
  <c r="A63" i="2"/>
  <c r="B62" i="2"/>
  <c r="D61" i="2"/>
  <c r="D13" i="3"/>
  <c r="D12" i="2"/>
  <c r="C14" i="5"/>
  <c r="B14" i="5"/>
  <c r="D13" i="5"/>
  <c r="D13" i="4"/>
  <c r="C14" i="4"/>
  <c r="B14" i="4"/>
  <c r="C14" i="3"/>
  <c r="B14" i="3"/>
  <c r="A14" i="2"/>
  <c r="D13" i="1"/>
  <c r="C14" i="1"/>
  <c r="B14" i="1"/>
  <c r="D59" i="1" l="1"/>
  <c r="A61" i="1"/>
  <c r="B60" i="1"/>
  <c r="C60" i="1"/>
  <c r="D60" i="1" s="1"/>
  <c r="D90" i="2"/>
  <c r="D79" i="2"/>
  <c r="D62" i="2"/>
  <c r="A81" i="2"/>
  <c r="B80" i="2"/>
  <c r="A64" i="2"/>
  <c r="B63" i="2"/>
  <c r="D14" i="3"/>
  <c r="C15" i="5"/>
  <c r="B15" i="5"/>
  <c r="D14" i="5"/>
  <c r="C15" i="4"/>
  <c r="B15" i="4"/>
  <c r="D14" i="4"/>
  <c r="C15" i="3"/>
  <c r="B15" i="3"/>
  <c r="A15" i="2"/>
  <c r="D13" i="2"/>
  <c r="D14" i="1"/>
  <c r="B15" i="1"/>
  <c r="C15" i="1"/>
  <c r="A62" i="1" l="1"/>
  <c r="B61" i="1"/>
  <c r="C61" i="1"/>
  <c r="D80" i="2"/>
  <c r="A82" i="2"/>
  <c r="B81" i="2"/>
  <c r="D63" i="2"/>
  <c r="B64" i="2"/>
  <c r="A65" i="2"/>
  <c r="D15" i="5"/>
  <c r="D14" i="2"/>
  <c r="C16" i="5"/>
  <c r="B16" i="5"/>
  <c r="D15" i="4"/>
  <c r="B16" i="4"/>
  <c r="C16" i="4"/>
  <c r="D15" i="3"/>
  <c r="C16" i="3"/>
  <c r="B16" i="3"/>
  <c r="A16" i="2"/>
  <c r="D15" i="1"/>
  <c r="B16" i="1"/>
  <c r="C16" i="1"/>
  <c r="A63" i="1" l="1"/>
  <c r="C62" i="1"/>
  <c r="B62" i="1"/>
  <c r="D61" i="1"/>
  <c r="D81" i="2"/>
  <c r="A83" i="2"/>
  <c r="B82" i="2"/>
  <c r="B65" i="2"/>
  <c r="A66" i="2"/>
  <c r="D64" i="2"/>
  <c r="D16" i="5"/>
  <c r="D16" i="3"/>
  <c r="C17" i="5"/>
  <c r="B17" i="5"/>
  <c r="C17" i="4"/>
  <c r="B17" i="4"/>
  <c r="D16" i="4"/>
  <c r="C17" i="3"/>
  <c r="B17" i="3"/>
  <c r="D15" i="2"/>
  <c r="A17" i="2"/>
  <c r="D16" i="1"/>
  <c r="B17" i="1"/>
  <c r="C17" i="1"/>
  <c r="D62" i="1" l="1"/>
  <c r="D17" i="4"/>
  <c r="A64" i="1"/>
  <c r="C63" i="1"/>
  <c r="B63" i="1"/>
  <c r="D82" i="2"/>
  <c r="B83" i="2"/>
  <c r="B66" i="2"/>
  <c r="A67" i="2"/>
  <c r="D65" i="2"/>
  <c r="D17" i="5"/>
  <c r="D17" i="3"/>
  <c r="D16" i="2"/>
  <c r="B18" i="5"/>
  <c r="C18" i="5"/>
  <c r="B18" i="4"/>
  <c r="C18" i="4"/>
  <c r="C18" i="3"/>
  <c r="B18" i="3"/>
  <c r="A18" i="2"/>
  <c r="D17" i="1"/>
  <c r="C18" i="1"/>
  <c r="B18" i="1"/>
  <c r="D63" i="1" l="1"/>
  <c r="A65" i="1"/>
  <c r="B64" i="1"/>
  <c r="C64" i="1"/>
  <c r="D64" i="1" s="1"/>
  <c r="D83" i="2"/>
  <c r="B67" i="2"/>
  <c r="A68" i="2"/>
  <c r="D66" i="2"/>
  <c r="D18" i="3"/>
  <c r="D18" i="4"/>
  <c r="D17" i="2"/>
  <c r="D18" i="5"/>
  <c r="B19" i="5"/>
  <c r="C19" i="5"/>
  <c r="B19" i="4"/>
  <c r="C19" i="4"/>
  <c r="B19" i="3"/>
  <c r="C19" i="3"/>
  <c r="A19" i="2"/>
  <c r="D18" i="1"/>
  <c r="C19" i="1"/>
  <c r="B19" i="1"/>
  <c r="A66" i="1" l="1"/>
  <c r="C65" i="1"/>
  <c r="B65" i="1"/>
  <c r="D67" i="2"/>
  <c r="B68" i="2"/>
  <c r="A69" i="2"/>
  <c r="D18" i="2"/>
  <c r="B20" i="5"/>
  <c r="C20" i="5"/>
  <c r="D19" i="5"/>
  <c r="B20" i="4"/>
  <c r="C20" i="4"/>
  <c r="D19" i="4"/>
  <c r="C20" i="3"/>
  <c r="B20" i="3"/>
  <c r="D19" i="3"/>
  <c r="A20" i="2"/>
  <c r="D19" i="1"/>
  <c r="C20" i="1"/>
  <c r="B20" i="1"/>
  <c r="D65" i="1" l="1"/>
  <c r="A67" i="1"/>
  <c r="B66" i="1"/>
  <c r="C66" i="1"/>
  <c r="D68" i="2"/>
  <c r="B69" i="2"/>
  <c r="A70" i="2"/>
  <c r="D20" i="5"/>
  <c r="D20" i="3"/>
  <c r="B21" i="5"/>
  <c r="C21" i="5"/>
  <c r="C21" i="4"/>
  <c r="B21" i="4"/>
  <c r="D20" i="4"/>
  <c r="C21" i="3"/>
  <c r="B21" i="3"/>
  <c r="A21" i="2"/>
  <c r="D19" i="2"/>
  <c r="D20" i="1"/>
  <c r="C21" i="1"/>
  <c r="B21" i="1"/>
  <c r="D66" i="1" l="1"/>
  <c r="A68" i="1"/>
  <c r="C67" i="1"/>
  <c r="B67" i="1"/>
  <c r="D69" i="2"/>
  <c r="A71" i="2"/>
  <c r="B70" i="2"/>
  <c r="D21" i="3"/>
  <c r="D21" i="4"/>
  <c r="D20" i="2"/>
  <c r="C22" i="5"/>
  <c r="B22" i="5"/>
  <c r="D21" i="5"/>
  <c r="C22" i="4"/>
  <c r="B22" i="4"/>
  <c r="C22" i="3"/>
  <c r="B22" i="3"/>
  <c r="A22" i="2"/>
  <c r="D21" i="1"/>
  <c r="C22" i="1"/>
  <c r="B22" i="1"/>
  <c r="D22" i="1" s="1"/>
  <c r="D67" i="1" l="1"/>
  <c r="A69" i="1"/>
  <c r="B68" i="1"/>
  <c r="C68" i="1"/>
  <c r="D70" i="2"/>
  <c r="A72" i="2"/>
  <c r="B71" i="2"/>
  <c r="D21" i="2"/>
  <c r="D22" i="5"/>
  <c r="D22" i="3"/>
  <c r="C23" i="5"/>
  <c r="B23" i="5"/>
  <c r="D22" i="4"/>
  <c r="C23" i="4"/>
  <c r="B23" i="4"/>
  <c r="C23" i="3"/>
  <c r="B23" i="3"/>
  <c r="A23" i="2"/>
  <c r="C23" i="1"/>
  <c r="B23" i="1"/>
  <c r="D68" i="1" l="1"/>
  <c r="A70" i="1"/>
  <c r="B69" i="1"/>
  <c r="C69" i="1"/>
  <c r="D71" i="2"/>
  <c r="B72" i="2"/>
  <c r="D23" i="1"/>
  <c r="D23" i="4"/>
  <c r="D23" i="5"/>
  <c r="D23" i="3"/>
  <c r="D22" i="2"/>
  <c r="C24" i="5"/>
  <c r="B24" i="5"/>
  <c r="C24" i="4"/>
  <c r="B24" i="4"/>
  <c r="C24" i="3"/>
  <c r="B24" i="3"/>
  <c r="A24" i="2"/>
  <c r="B24" i="1"/>
  <c r="C24" i="1"/>
  <c r="D69" i="1" l="1"/>
  <c r="A71" i="1"/>
  <c r="C70" i="1"/>
  <c r="B70" i="1"/>
  <c r="D72" i="2"/>
  <c r="D24" i="5"/>
  <c r="D24" i="4"/>
  <c r="D23" i="2"/>
  <c r="C25" i="5"/>
  <c r="B25" i="5"/>
  <c r="C25" i="4"/>
  <c r="B25" i="4"/>
  <c r="D24" i="3"/>
  <c r="C25" i="3"/>
  <c r="B25" i="3"/>
  <c r="A25" i="2"/>
  <c r="D24" i="1"/>
  <c r="B25" i="1"/>
  <c r="C25" i="1"/>
  <c r="D70" i="1" l="1"/>
  <c r="A72" i="1"/>
  <c r="B71" i="1"/>
  <c r="C71" i="1"/>
  <c r="D25" i="5"/>
  <c r="D25" i="3"/>
  <c r="D25" i="4"/>
  <c r="D24" i="2"/>
  <c r="C26" i="5"/>
  <c r="B26" i="5"/>
  <c r="C26" i="4"/>
  <c r="B26" i="4"/>
  <c r="C26" i="3"/>
  <c r="B26" i="3"/>
  <c r="A26" i="2"/>
  <c r="D25" i="1"/>
  <c r="C26" i="1"/>
  <c r="B26" i="1"/>
  <c r="D71" i="1" l="1"/>
  <c r="A73" i="1"/>
  <c r="B72" i="1"/>
  <c r="C72" i="1"/>
  <c r="D72" i="1" s="1"/>
  <c r="D26" i="5"/>
  <c r="D26" i="3"/>
  <c r="D26" i="4"/>
  <c r="D25" i="2"/>
  <c r="B27" i="5"/>
  <c r="C27" i="5"/>
  <c r="B27" i="4"/>
  <c r="C27" i="4"/>
  <c r="B27" i="3"/>
  <c r="C27" i="3"/>
  <c r="A27" i="2"/>
  <c r="D26" i="1"/>
  <c r="C27" i="1"/>
  <c r="B27" i="1"/>
  <c r="A74" i="1" l="1"/>
  <c r="B73" i="1"/>
  <c r="C73" i="1"/>
  <c r="D26" i="2"/>
  <c r="B28" i="5"/>
  <c r="C28" i="5"/>
  <c r="D27" i="5"/>
  <c r="B28" i="4"/>
  <c r="C28" i="4"/>
  <c r="D27" i="4"/>
  <c r="B28" i="3"/>
  <c r="C28" i="3"/>
  <c r="D27" i="3"/>
  <c r="A28" i="2"/>
  <c r="D27" i="1"/>
  <c r="C28" i="1"/>
  <c r="B28" i="1"/>
  <c r="D73" i="1" l="1"/>
  <c r="A75" i="1"/>
  <c r="B74" i="1"/>
  <c r="C74" i="1"/>
  <c r="D74" i="1" s="1"/>
  <c r="D28" i="3"/>
  <c r="B29" i="5"/>
  <c r="C29" i="5"/>
  <c r="D28" i="5"/>
  <c r="C29" i="4"/>
  <c r="B29" i="4"/>
  <c r="D28" i="4"/>
  <c r="C29" i="3"/>
  <c r="B29" i="3"/>
  <c r="A29" i="2"/>
  <c r="D27" i="2"/>
  <c r="D28" i="1"/>
  <c r="C29" i="1"/>
  <c r="B29" i="1"/>
  <c r="A76" i="1" l="1"/>
  <c r="B75" i="1"/>
  <c r="C75" i="1"/>
  <c r="D29" i="1"/>
  <c r="D29" i="3"/>
  <c r="D29" i="4"/>
  <c r="D28" i="2"/>
  <c r="C30" i="5"/>
  <c r="B30" i="5"/>
  <c r="D29" i="5"/>
  <c r="C30" i="4"/>
  <c r="B30" i="4"/>
  <c r="C30" i="3"/>
  <c r="B30" i="3"/>
  <c r="A30" i="2"/>
  <c r="C30" i="1"/>
  <c r="B30" i="1"/>
  <c r="D75" i="1" l="1"/>
  <c r="D30" i="1"/>
  <c r="A77" i="1"/>
  <c r="B76" i="1"/>
  <c r="C76" i="1"/>
  <c r="D76" i="1" s="1"/>
  <c r="D30" i="5"/>
  <c r="D30" i="3"/>
  <c r="D30" i="4"/>
  <c r="D29" i="2"/>
  <c r="C31" i="5"/>
  <c r="B31" i="5"/>
  <c r="B31" i="4"/>
  <c r="C31" i="4"/>
  <c r="C31" i="3"/>
  <c r="B31" i="3"/>
  <c r="A31" i="2"/>
  <c r="B31" i="1"/>
  <c r="C31" i="1"/>
  <c r="A78" i="1" l="1"/>
  <c r="B77" i="1"/>
  <c r="C77" i="1"/>
  <c r="D31" i="5"/>
  <c r="D31" i="3"/>
  <c r="D30" i="2"/>
  <c r="C32" i="5"/>
  <c r="B32" i="5"/>
  <c r="D31" i="4"/>
  <c r="C32" i="4"/>
  <c r="B32" i="4"/>
  <c r="C32" i="3"/>
  <c r="B32" i="3"/>
  <c r="A32" i="2"/>
  <c r="D31" i="1"/>
  <c r="B32" i="1"/>
  <c r="C32" i="1"/>
  <c r="D77" i="1" l="1"/>
  <c r="A79" i="1"/>
  <c r="B78" i="1"/>
  <c r="C78" i="1"/>
  <c r="D32" i="4"/>
  <c r="D32" i="5"/>
  <c r="D32" i="3"/>
  <c r="D31" i="2"/>
  <c r="C33" i="5"/>
  <c r="B33" i="5"/>
  <c r="C33" i="4"/>
  <c r="B33" i="4"/>
  <c r="C33" i="3"/>
  <c r="B33" i="3"/>
  <c r="A33" i="2"/>
  <c r="D32" i="1"/>
  <c r="B33" i="1"/>
  <c r="C33" i="1"/>
  <c r="D78" i="1" l="1"/>
  <c r="A80" i="1"/>
  <c r="B79" i="1"/>
  <c r="C79" i="1"/>
  <c r="D33" i="5"/>
  <c r="D33" i="3"/>
  <c r="D33" i="4"/>
  <c r="D32" i="2"/>
  <c r="C34" i="5"/>
  <c r="B34" i="5"/>
  <c r="B34" i="4"/>
  <c r="C34" i="4"/>
  <c r="C34" i="3"/>
  <c r="B34" i="3"/>
  <c r="A34" i="2"/>
  <c r="D33" i="1"/>
  <c r="C34" i="1"/>
  <c r="B34" i="1"/>
  <c r="D79" i="1" l="1"/>
  <c r="A81" i="1"/>
  <c r="C80" i="1"/>
  <c r="B80" i="1"/>
  <c r="D34" i="5"/>
  <c r="D34" i="3"/>
  <c r="B35" i="5"/>
  <c r="C35" i="5"/>
  <c r="B35" i="4"/>
  <c r="C35" i="4"/>
  <c r="D34" i="4"/>
  <c r="B35" i="3"/>
  <c r="C35" i="3"/>
  <c r="A35" i="2"/>
  <c r="D33" i="2"/>
  <c r="D34" i="1"/>
  <c r="C35" i="1"/>
  <c r="B35" i="1"/>
  <c r="D80" i="1" l="1"/>
  <c r="A82" i="1"/>
  <c r="B81" i="1"/>
  <c r="C81" i="1"/>
  <c r="D34" i="2"/>
  <c r="C36" i="5"/>
  <c r="B36" i="5"/>
  <c r="D35" i="5"/>
  <c r="B36" i="4"/>
  <c r="C36" i="4"/>
  <c r="D35" i="4"/>
  <c r="B36" i="3"/>
  <c r="C36" i="3"/>
  <c r="D35" i="3"/>
  <c r="A36" i="2"/>
  <c r="D35" i="1"/>
  <c r="C36" i="1"/>
  <c r="B36" i="1"/>
  <c r="D81" i="1" l="1"/>
  <c r="A83" i="1"/>
  <c r="B82" i="1"/>
  <c r="C82" i="1"/>
  <c r="D36" i="5"/>
  <c r="D36" i="4"/>
  <c r="C37" i="5"/>
  <c r="B37" i="5"/>
  <c r="C37" i="4"/>
  <c r="B37" i="4"/>
  <c r="C37" i="3"/>
  <c r="B37" i="3"/>
  <c r="D36" i="3"/>
  <c r="B36" i="2"/>
  <c r="A37" i="2"/>
  <c r="D35" i="2"/>
  <c r="D36" i="1"/>
  <c r="C37" i="1"/>
  <c r="B37" i="1"/>
  <c r="D37" i="1" l="1"/>
  <c r="D82" i="1"/>
  <c r="A84" i="1"/>
  <c r="C83" i="1"/>
  <c r="B83" i="1"/>
  <c r="D37" i="5"/>
  <c r="D37" i="4"/>
  <c r="D36" i="2"/>
  <c r="C38" i="5"/>
  <c r="B38" i="5"/>
  <c r="C38" i="4"/>
  <c r="B38" i="4"/>
  <c r="D37" i="3"/>
  <c r="C38" i="3"/>
  <c r="B38" i="3"/>
  <c r="A38" i="2"/>
  <c r="B37" i="2"/>
  <c r="B38" i="1"/>
  <c r="C38" i="1"/>
  <c r="D83" i="1" l="1"/>
  <c r="D38" i="4"/>
  <c r="A85" i="1"/>
  <c r="B84" i="1"/>
  <c r="C84" i="1"/>
  <c r="D38" i="5"/>
  <c r="D38" i="3"/>
  <c r="D37" i="2"/>
  <c r="C39" i="5"/>
  <c r="B39" i="5"/>
  <c r="C39" i="4"/>
  <c r="B39" i="4"/>
  <c r="C39" i="3"/>
  <c r="B39" i="3"/>
  <c r="B38" i="2"/>
  <c r="A39" i="2"/>
  <c r="D38" i="1"/>
  <c r="B39" i="1"/>
  <c r="C39" i="1"/>
  <c r="D84" i="1" l="1"/>
  <c r="A86" i="1"/>
  <c r="B85" i="1"/>
  <c r="C85" i="1"/>
  <c r="D39" i="4"/>
  <c r="D38" i="2"/>
  <c r="D39" i="5"/>
  <c r="D39" i="3"/>
  <c r="C40" i="5"/>
  <c r="B40" i="5"/>
  <c r="C40" i="4"/>
  <c r="B40" i="4"/>
  <c r="C40" i="3"/>
  <c r="B40" i="3"/>
  <c r="A40" i="2"/>
  <c r="B39" i="2"/>
  <c r="D39" i="1"/>
  <c r="B40" i="1"/>
  <c r="C40" i="1"/>
  <c r="D85" i="1" l="1"/>
  <c r="A87" i="1"/>
  <c r="B86" i="1"/>
  <c r="C86" i="1"/>
  <c r="D40" i="5"/>
  <c r="D40" i="3"/>
  <c r="D40" i="4"/>
  <c r="D39" i="2"/>
  <c r="C41" i="5"/>
  <c r="B41" i="5"/>
  <c r="C41" i="4"/>
  <c r="B41" i="4"/>
  <c r="C41" i="3"/>
  <c r="B41" i="3"/>
  <c r="A41" i="2"/>
  <c r="B40" i="2"/>
  <c r="D40" i="1"/>
  <c r="B41" i="1"/>
  <c r="C41" i="1"/>
  <c r="D86" i="1" l="1"/>
  <c r="A88" i="1"/>
  <c r="B87" i="1"/>
  <c r="C87" i="1"/>
  <c r="D41" i="5"/>
  <c r="D41" i="3"/>
  <c r="D41" i="4"/>
  <c r="B42" i="5"/>
  <c r="C42" i="5"/>
  <c r="B42" i="4"/>
  <c r="C42" i="4"/>
  <c r="C42" i="3"/>
  <c r="B42" i="3"/>
  <c r="D40" i="2"/>
  <c r="B41" i="2"/>
  <c r="A42" i="2"/>
  <c r="D41" i="1"/>
  <c r="C42" i="1"/>
  <c r="B42" i="1"/>
  <c r="D87" i="1" l="1"/>
  <c r="A89" i="1"/>
  <c r="B88" i="1"/>
  <c r="C88" i="1"/>
  <c r="D42" i="3"/>
  <c r="B43" i="5"/>
  <c r="C43" i="5"/>
  <c r="D42" i="5"/>
  <c r="B43" i="4"/>
  <c r="C43" i="4"/>
  <c r="D42" i="4"/>
  <c r="B43" i="3"/>
  <c r="C43" i="3"/>
  <c r="A43" i="2"/>
  <c r="B42" i="2"/>
  <c r="D41" i="2"/>
  <c r="D42" i="1"/>
  <c r="C43" i="1"/>
  <c r="B43" i="1"/>
  <c r="D43" i="1" l="1"/>
  <c r="D88" i="1"/>
  <c r="A90" i="1"/>
  <c r="C89" i="1"/>
  <c r="B89" i="1"/>
  <c r="D42" i="2"/>
  <c r="C44" i="5"/>
  <c r="B44" i="5"/>
  <c r="D43" i="5"/>
  <c r="C44" i="4"/>
  <c r="B44" i="4"/>
  <c r="D43" i="4"/>
  <c r="C44" i="3"/>
  <c r="B44" i="3"/>
  <c r="D43" i="3"/>
  <c r="B43" i="2"/>
  <c r="A44" i="2"/>
  <c r="C44" i="1"/>
  <c r="B44" i="1"/>
  <c r="D89" i="1" l="1"/>
  <c r="A91" i="1"/>
  <c r="B90" i="1"/>
  <c r="C90" i="1"/>
  <c r="D44" i="1"/>
  <c r="D44" i="5"/>
  <c r="D44" i="4"/>
  <c r="C45" i="5"/>
  <c r="B45" i="5"/>
  <c r="C45" i="4"/>
  <c r="B45" i="4"/>
  <c r="C45" i="3"/>
  <c r="B45" i="3"/>
  <c r="D44" i="3"/>
  <c r="B44" i="2"/>
  <c r="A45" i="2"/>
  <c r="D43" i="2"/>
  <c r="B45" i="1"/>
  <c r="C45" i="1"/>
  <c r="D90" i="1" l="1"/>
  <c r="A92" i="1"/>
  <c r="C91" i="1"/>
  <c r="B91" i="1"/>
  <c r="D45" i="5"/>
  <c r="D44" i="2"/>
  <c r="C46" i="5"/>
  <c r="B46" i="5"/>
  <c r="D45" i="4"/>
  <c r="C46" i="4"/>
  <c r="B46" i="4"/>
  <c r="D45" i="3"/>
  <c r="C46" i="3"/>
  <c r="B46" i="3"/>
  <c r="A46" i="2"/>
  <c r="B45" i="2"/>
  <c r="D45" i="1"/>
  <c r="C46" i="1"/>
  <c r="B46" i="1"/>
  <c r="D46" i="5" l="1"/>
  <c r="D91" i="1"/>
  <c r="D46" i="1"/>
  <c r="A93" i="1"/>
  <c r="C92" i="1"/>
  <c r="B92" i="1"/>
  <c r="D46" i="3"/>
  <c r="D46" i="4"/>
  <c r="D45" i="2"/>
  <c r="B47" i="5"/>
  <c r="C47" i="5"/>
  <c r="C47" i="4"/>
  <c r="B47" i="4"/>
  <c r="C47" i="3"/>
  <c r="B47" i="3"/>
  <c r="B46" i="2"/>
  <c r="A47" i="2"/>
  <c r="C47" i="1"/>
  <c r="B47" i="1"/>
  <c r="D92" i="1" l="1"/>
  <c r="C93" i="1"/>
  <c r="B93" i="1"/>
  <c r="D47" i="1"/>
  <c r="D47" i="3"/>
  <c r="D47" i="4"/>
  <c r="D46" i="2"/>
  <c r="D47" i="5"/>
  <c r="C48" i="5"/>
  <c r="B48" i="5"/>
  <c r="C48" i="4"/>
  <c r="B48" i="4"/>
  <c r="C48" i="3"/>
  <c r="B48" i="3"/>
  <c r="A48" i="2"/>
  <c r="B47" i="2"/>
  <c r="B48" i="1"/>
  <c r="C48" i="1"/>
  <c r="D93" i="1" l="1"/>
  <c r="D48" i="5"/>
  <c r="D48" i="3"/>
  <c r="D48" i="4"/>
  <c r="D47" i="2"/>
  <c r="C49" i="5"/>
  <c r="B49" i="5"/>
  <c r="C49" i="4"/>
  <c r="B49" i="4"/>
  <c r="C49" i="3"/>
  <c r="B49" i="3"/>
  <c r="A49" i="2"/>
  <c r="B48" i="2"/>
  <c r="D48" i="1"/>
  <c r="B49" i="1"/>
  <c r="C49" i="1"/>
  <c r="D49" i="5" l="1"/>
  <c r="D49" i="3"/>
  <c r="B50" i="5"/>
  <c r="C50" i="5"/>
  <c r="D49" i="4"/>
  <c r="B50" i="4"/>
  <c r="C50" i="4"/>
  <c r="C50" i="3"/>
  <c r="B50" i="3"/>
  <c r="D48" i="2"/>
  <c r="B49" i="2"/>
  <c r="A50" i="2"/>
  <c r="D49" i="1"/>
  <c r="C50" i="1"/>
  <c r="B50" i="1"/>
  <c r="D50" i="1" l="1"/>
  <c r="D50" i="3"/>
  <c r="D50" i="5"/>
  <c r="B51" i="5"/>
  <c r="C51" i="5"/>
  <c r="D50" i="4"/>
  <c r="B51" i="4"/>
  <c r="C51" i="4"/>
  <c r="B51" i="3"/>
  <c r="C51" i="3"/>
  <c r="A51" i="2"/>
  <c r="B50" i="2"/>
  <c r="D49" i="2"/>
  <c r="C51" i="1"/>
  <c r="B51" i="1"/>
  <c r="D50" i="2" l="1"/>
  <c r="C52" i="5"/>
  <c r="B52" i="5"/>
  <c r="D51" i="5"/>
  <c r="C52" i="4"/>
  <c r="B52" i="4"/>
  <c r="D51" i="4"/>
  <c r="C52" i="3"/>
  <c r="B52" i="3"/>
  <c r="D51" i="3"/>
  <c r="B51" i="2"/>
  <c r="A52" i="2"/>
  <c r="D51" i="1"/>
  <c r="C52" i="1"/>
  <c r="B52" i="1"/>
  <c r="D52" i="1" l="1"/>
  <c r="D52" i="5"/>
  <c r="D52" i="3"/>
  <c r="D52" i="4"/>
  <c r="B53" i="5"/>
  <c r="C53" i="5"/>
  <c r="C53" i="4"/>
  <c r="B53" i="4"/>
  <c r="C53" i="3"/>
  <c r="B53" i="3"/>
  <c r="B52" i="2"/>
  <c r="A53" i="2"/>
  <c r="D51" i="2"/>
  <c r="C53" i="1"/>
  <c r="B53" i="1"/>
  <c r="D53" i="4" l="1"/>
  <c r="D53" i="3"/>
  <c r="D52" i="2"/>
  <c r="C54" i="5"/>
  <c r="B54" i="5"/>
  <c r="D53" i="5"/>
  <c r="C54" i="4"/>
  <c r="B54" i="4"/>
  <c r="C54" i="3"/>
  <c r="B54" i="3"/>
  <c r="A54" i="2"/>
  <c r="B53" i="2"/>
  <c r="D53" i="1"/>
  <c r="C54" i="1"/>
  <c r="B54" i="1"/>
  <c r="D54" i="5" l="1"/>
  <c r="D53" i="2"/>
  <c r="D54" i="3"/>
  <c r="D54" i="4"/>
  <c r="C55" i="5"/>
  <c r="C94" i="5" s="1"/>
  <c r="B55" i="5"/>
  <c r="B94" i="5" s="1"/>
  <c r="C55" i="4"/>
  <c r="C94" i="4" s="1"/>
  <c r="B55" i="4"/>
  <c r="B94" i="4" s="1"/>
  <c r="C55" i="3"/>
  <c r="C94" i="3" s="1"/>
  <c r="B55" i="3"/>
  <c r="B94" i="3" s="1"/>
  <c r="B54" i="2"/>
  <c r="A55" i="2"/>
  <c r="D54" i="1"/>
  <c r="B55" i="1"/>
  <c r="B94" i="1" s="1"/>
  <c r="C55" i="1"/>
  <c r="C94" i="1" s="1"/>
  <c r="D55" i="3" l="1"/>
  <c r="D94" i="3" s="1"/>
  <c r="D55" i="4"/>
  <c r="D94" i="4" s="1"/>
  <c r="D54" i="2"/>
  <c r="D55" i="5"/>
  <c r="D94" i="5" s="1"/>
  <c r="B55" i="2"/>
  <c r="B94" i="2" s="1"/>
  <c r="D55" i="1"/>
  <c r="D94" i="1" s="1"/>
  <c r="E15" i="3" l="1"/>
  <c r="E23" i="3"/>
  <c r="E31" i="3"/>
  <c r="E39" i="3"/>
  <c r="E47" i="3"/>
  <c r="E55" i="3"/>
  <c r="E63" i="3"/>
  <c r="E71" i="3"/>
  <c r="E79" i="3"/>
  <c r="E87" i="3"/>
  <c r="E26" i="3"/>
  <c r="E42" i="3"/>
  <c r="E74" i="3"/>
  <c r="E11" i="3"/>
  <c r="E43" i="3"/>
  <c r="E91" i="3"/>
  <c r="E20" i="3"/>
  <c r="E52" i="3"/>
  <c r="E84" i="3"/>
  <c r="E37" i="3"/>
  <c r="E69" i="3"/>
  <c r="E16" i="3"/>
  <c r="E24" i="3"/>
  <c r="E32" i="3"/>
  <c r="E40" i="3"/>
  <c r="E48" i="3"/>
  <c r="E56" i="3"/>
  <c r="E64" i="3"/>
  <c r="E72" i="3"/>
  <c r="E80" i="3"/>
  <c r="E88" i="3"/>
  <c r="E18" i="3"/>
  <c r="E50" i="3"/>
  <c r="E82" i="3"/>
  <c r="E19" i="3"/>
  <c r="E51" i="3"/>
  <c r="E83" i="3"/>
  <c r="E36" i="3"/>
  <c r="E68" i="3"/>
  <c r="E13" i="3"/>
  <c r="E45" i="3"/>
  <c r="E77" i="3"/>
  <c r="E9" i="3"/>
  <c r="E17" i="3"/>
  <c r="E25" i="3"/>
  <c r="E33" i="3"/>
  <c r="E41" i="3"/>
  <c r="E49" i="3"/>
  <c r="E57" i="3"/>
  <c r="E65" i="3"/>
  <c r="E73" i="3"/>
  <c r="E81" i="3"/>
  <c r="E89" i="3"/>
  <c r="E10" i="3"/>
  <c r="E58" i="3"/>
  <c r="E27" i="3"/>
  <c r="E59" i="3"/>
  <c r="E75" i="3"/>
  <c r="E12" i="3"/>
  <c r="E44" i="3"/>
  <c r="E76" i="3"/>
  <c r="E29" i="3"/>
  <c r="E61" i="3"/>
  <c r="E93" i="3"/>
  <c r="E14" i="3"/>
  <c r="E22" i="3"/>
  <c r="E30" i="3"/>
  <c r="E38" i="3"/>
  <c r="E46" i="3"/>
  <c r="E54" i="3"/>
  <c r="E62" i="3"/>
  <c r="E70" i="3"/>
  <c r="E78" i="3"/>
  <c r="E86" i="3"/>
  <c r="E8" i="3"/>
  <c r="E34" i="3"/>
  <c r="E66" i="3"/>
  <c r="E90" i="3"/>
  <c r="E35" i="3"/>
  <c r="E67" i="3"/>
  <c r="E28" i="3"/>
  <c r="E60" i="3"/>
  <c r="E92" i="3"/>
  <c r="E21" i="3"/>
  <c r="E53" i="3"/>
  <c r="E85" i="3"/>
  <c r="E15" i="5"/>
  <c r="E23" i="5"/>
  <c r="E31" i="5"/>
  <c r="E39" i="5"/>
  <c r="E47" i="5"/>
  <c r="E55" i="5"/>
  <c r="E63" i="5"/>
  <c r="E71" i="5"/>
  <c r="E79" i="5"/>
  <c r="E87" i="5"/>
  <c r="E10" i="5"/>
  <c r="E50" i="5"/>
  <c r="E66" i="5"/>
  <c r="E90" i="5"/>
  <c r="E35" i="5"/>
  <c r="E51" i="5"/>
  <c r="E83" i="5"/>
  <c r="E12" i="5"/>
  <c r="E44" i="5"/>
  <c r="E76" i="5"/>
  <c r="E16" i="5"/>
  <c r="E24" i="5"/>
  <c r="E32" i="5"/>
  <c r="E40" i="5"/>
  <c r="E48" i="5"/>
  <c r="E56" i="5"/>
  <c r="E64" i="5"/>
  <c r="E72" i="5"/>
  <c r="E80" i="5"/>
  <c r="E88" i="5"/>
  <c r="E26" i="5"/>
  <c r="E34" i="5"/>
  <c r="E58" i="5"/>
  <c r="E82" i="5"/>
  <c r="E11" i="5"/>
  <c r="E59" i="5"/>
  <c r="E20" i="5"/>
  <c r="E52" i="5"/>
  <c r="E84" i="5"/>
  <c r="E9" i="5"/>
  <c r="E17" i="5"/>
  <c r="E25" i="5"/>
  <c r="E33" i="5"/>
  <c r="E41" i="5"/>
  <c r="E49" i="5"/>
  <c r="E57" i="5"/>
  <c r="E65" i="5"/>
  <c r="E73" i="5"/>
  <c r="E81" i="5"/>
  <c r="E89" i="5"/>
  <c r="E18" i="5"/>
  <c r="E42" i="5"/>
  <c r="E74" i="5"/>
  <c r="E27" i="5"/>
  <c r="E43" i="5"/>
  <c r="E75" i="5"/>
  <c r="E28" i="5"/>
  <c r="E68" i="5"/>
  <c r="E13" i="5"/>
  <c r="E21" i="5"/>
  <c r="E29" i="5"/>
  <c r="E37" i="5"/>
  <c r="E45" i="5"/>
  <c r="E53" i="5"/>
  <c r="E61" i="5"/>
  <c r="E69" i="5"/>
  <c r="E77" i="5"/>
  <c r="E85" i="5"/>
  <c r="E93" i="5"/>
  <c r="E14" i="5"/>
  <c r="E22" i="5"/>
  <c r="E30" i="5"/>
  <c r="E38" i="5"/>
  <c r="E46" i="5"/>
  <c r="E54" i="5"/>
  <c r="E62" i="5"/>
  <c r="E70" i="5"/>
  <c r="E78" i="5"/>
  <c r="E86" i="5"/>
  <c r="E8" i="5"/>
  <c r="E19" i="5"/>
  <c r="E67" i="5"/>
  <c r="E91" i="5"/>
  <c r="E36" i="5"/>
  <c r="E60" i="5"/>
  <c r="E92" i="5"/>
  <c r="E11" i="4"/>
  <c r="E19" i="4"/>
  <c r="E27" i="4"/>
  <c r="E35" i="4"/>
  <c r="E43" i="4"/>
  <c r="E51" i="4"/>
  <c r="E59" i="4"/>
  <c r="E67" i="4"/>
  <c r="E75" i="4"/>
  <c r="E83" i="4"/>
  <c r="E91" i="4"/>
  <c r="E21" i="4"/>
  <c r="E61" i="4"/>
  <c r="E46" i="4"/>
  <c r="E70" i="4"/>
  <c r="E39" i="4"/>
  <c r="E63" i="4"/>
  <c r="E87" i="4"/>
  <c r="E48" i="4"/>
  <c r="E88" i="4"/>
  <c r="E12" i="4"/>
  <c r="E20" i="4"/>
  <c r="E28" i="4"/>
  <c r="E36" i="4"/>
  <c r="E44" i="4"/>
  <c r="E52" i="4"/>
  <c r="E60" i="4"/>
  <c r="E68" i="4"/>
  <c r="E76" i="4"/>
  <c r="E84" i="4"/>
  <c r="E92" i="4"/>
  <c r="E37" i="4"/>
  <c r="E77" i="4"/>
  <c r="E30" i="4"/>
  <c r="E62" i="4"/>
  <c r="E8" i="4"/>
  <c r="E23" i="4"/>
  <c r="E55" i="4"/>
  <c r="E79" i="4"/>
  <c r="E32" i="4"/>
  <c r="E69" i="4"/>
  <c r="E14" i="4"/>
  <c r="E16" i="4"/>
  <c r="E9" i="4"/>
  <c r="E17" i="4"/>
  <c r="E25" i="4"/>
  <c r="E33" i="4"/>
  <c r="E41" i="4"/>
  <c r="E49" i="4"/>
  <c r="E57" i="4"/>
  <c r="E65" i="4"/>
  <c r="E73" i="4"/>
  <c r="E81" i="4"/>
  <c r="E89" i="4"/>
  <c r="E45" i="4"/>
  <c r="E85" i="4"/>
  <c r="E22" i="4"/>
  <c r="E54" i="4"/>
  <c r="E86" i="4"/>
  <c r="E15" i="4"/>
  <c r="E47" i="4"/>
  <c r="E71" i="4"/>
  <c r="E40" i="4"/>
  <c r="E80" i="4"/>
  <c r="E10" i="4"/>
  <c r="E18" i="4"/>
  <c r="E26" i="4"/>
  <c r="E34" i="4"/>
  <c r="E42" i="4"/>
  <c r="E50" i="4"/>
  <c r="E58" i="4"/>
  <c r="E66" i="4"/>
  <c r="E74" i="4"/>
  <c r="E82" i="4"/>
  <c r="E90" i="4"/>
  <c r="E13" i="4"/>
  <c r="E29" i="4"/>
  <c r="E53" i="4"/>
  <c r="E93" i="4"/>
  <c r="E38" i="4"/>
  <c r="E78" i="4"/>
  <c r="E31" i="4"/>
  <c r="E24" i="4"/>
  <c r="E56" i="4"/>
  <c r="E64" i="4"/>
  <c r="E72" i="4"/>
  <c r="E13" i="1"/>
  <c r="E21" i="1"/>
  <c r="E29" i="1"/>
  <c r="E37" i="1"/>
  <c r="E45" i="1"/>
  <c r="E53" i="1"/>
  <c r="E61" i="1"/>
  <c r="E69" i="1"/>
  <c r="E77" i="1"/>
  <c r="E85" i="1"/>
  <c r="E93" i="1"/>
  <c r="E22" i="1"/>
  <c r="E30" i="1"/>
  <c r="E38" i="1"/>
  <c r="E46" i="1"/>
  <c r="E54" i="1"/>
  <c r="E62" i="1"/>
  <c r="E70" i="1"/>
  <c r="E78" i="1"/>
  <c r="E86" i="1"/>
  <c r="E8" i="1"/>
  <c r="E83" i="1"/>
  <c r="E14" i="1"/>
  <c r="E15" i="1"/>
  <c r="E23" i="1"/>
  <c r="E31" i="1"/>
  <c r="E39" i="1"/>
  <c r="E47" i="1"/>
  <c r="E55" i="1"/>
  <c r="E63" i="1"/>
  <c r="E71" i="1"/>
  <c r="E79" i="1"/>
  <c r="E87" i="1"/>
  <c r="E24" i="1"/>
  <c r="E32" i="1"/>
  <c r="E40" i="1"/>
  <c r="E48" i="1"/>
  <c r="E56" i="1"/>
  <c r="E64" i="1"/>
  <c r="E72" i="1"/>
  <c r="E80" i="1"/>
  <c r="E88" i="1"/>
  <c r="E66" i="1"/>
  <c r="E16" i="1"/>
  <c r="E9" i="1"/>
  <c r="E17" i="1"/>
  <c r="E25" i="1"/>
  <c r="E33" i="1"/>
  <c r="E41" i="1"/>
  <c r="E49" i="1"/>
  <c r="E57" i="1"/>
  <c r="E65" i="1"/>
  <c r="E73" i="1"/>
  <c r="E81" i="1"/>
  <c r="E89" i="1"/>
  <c r="E10" i="1"/>
  <c r="E18" i="1"/>
  <c r="E26" i="1"/>
  <c r="E34" i="1"/>
  <c r="E42" i="1"/>
  <c r="E50" i="1"/>
  <c r="E58" i="1"/>
  <c r="E74" i="1"/>
  <c r="E82" i="1"/>
  <c r="E90" i="1"/>
  <c r="E11" i="1"/>
  <c r="E27" i="1"/>
  <c r="E35" i="1"/>
  <c r="E43" i="1"/>
  <c r="E51" i="1"/>
  <c r="E59" i="1"/>
  <c r="E67" i="1"/>
  <c r="E75" i="1"/>
  <c r="E91" i="1"/>
  <c r="E12" i="1"/>
  <c r="E20" i="1"/>
  <c r="E28" i="1"/>
  <c r="E36" i="1"/>
  <c r="E44" i="1"/>
  <c r="E52" i="1"/>
  <c r="E60" i="1"/>
  <c r="E68" i="1"/>
  <c r="E76" i="1"/>
  <c r="E84" i="1"/>
  <c r="E92" i="1"/>
  <c r="E19" i="1"/>
  <c r="D55" i="2"/>
  <c r="D94" i="2" s="1"/>
  <c r="E94" i="5" l="1"/>
  <c r="E94" i="4"/>
  <c r="E94" i="3"/>
  <c r="E94" i="1" l="1"/>
</calcChain>
</file>

<file path=xl/sharedStrings.xml><?xml version="1.0" encoding="utf-8"?>
<sst xmlns="http://schemas.openxmlformats.org/spreadsheetml/2006/main" count="123" uniqueCount="31">
  <si>
    <t>Gewicht w1</t>
  </si>
  <si>
    <t>Gewicht w2</t>
  </si>
  <si>
    <t>Summe Gewichte</t>
  </si>
  <si>
    <t>Mischung f</t>
  </si>
  <si>
    <t>Normiert f_norm</t>
  </si>
  <si>
    <t>σ</t>
  </si>
  <si>
    <t>sehr schmal, fast Normalverteilung</t>
  </si>
  <si>
    <t>moderate Streuung, typischer Lognormal-Verlauf</t>
  </si>
  <si>
    <t>stark schief, langer rechter „Schwanz“</t>
  </si>
  <si>
    <t>Summe</t>
  </si>
  <si>
    <t>Bimodale Lognormal-Mischung (spontanes Laden + leerer Akku)</t>
  </si>
  <si>
    <t>μ1 (spontan, ln)</t>
  </si>
  <si>
    <t>σ1 (spontan)</t>
  </si>
  <si>
    <t>μ2 (leer, ln)</t>
  </si>
  <si>
    <t>σ2 (leer)</t>
  </si>
  <si>
    <t>spontanes Laden f1</t>
  </si>
  <si>
    <t>leere Batterie f2</t>
  </si>
  <si>
    <t>μ1 (spontan)</t>
  </si>
  <si>
    <t>μ2 (leer)</t>
  </si>
  <si>
    <t>Peak</t>
  </si>
  <si>
    <t>SoC (%)</t>
  </si>
  <si>
    <t>Max-SoC (%)</t>
  </si>
  <si>
    <t>Schritt (%)</t>
  </si>
  <si>
    <t>https://mobilityintegrationsymposium.org/wp-content/uploads/sites/10/2018/11/3C_3_Emob18_025_paper_James_Dixon.pdf?utm_source=chatgpt.com</t>
  </si>
  <si>
    <t>-&gt; Mittelwert ca. 40 %, spontanes &gt; leer</t>
  </si>
  <si>
    <t>https://re.public.polimi.it/retrieve/e75eaace-0d64-431f-8b8f-d42f79adb6b8/1-s2.0-S259011682400016X-main.pdf?utm_source=chatgpt.com</t>
  </si>
  <si>
    <t>--&gt; 40 - 55 %</t>
  </si>
  <si>
    <t>https://www.ionity.eu/stories/charging-etiquette-six-tips-for-a-great-experience?utm_source=chatgpt.com</t>
  </si>
  <si>
    <t>-&gt; 20 %</t>
  </si>
  <si>
    <t>-&gt; ?</t>
  </si>
  <si>
    <t>--&gt; so wie Büro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</si>
</sst>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-webkit-standard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4" fillId="0" borderId="0" xfId="0" applyFont="1"/>
    <xf numFmtId="0" fontId="4" fillId="2" borderId="2" xfId="0" applyFont="1" applyFill="1" applyBorder="1"/>
    <xf numFmtId="0" fontId="3" fillId="2" borderId="3" xfId="0" applyFont="1" applyFill="1" applyBorder="1"/>
    <xf numFmtId="0" fontId="4" fillId="2" borderId="4" xfId="0" applyFont="1" applyFill="1" applyBorder="1"/>
    <xf numFmtId="0" fontId="3" fillId="2" borderId="5" xfId="0" applyFont="1" applyFill="1" applyBorder="1"/>
    <xf numFmtId="2" fontId="6" fillId="0" borderId="0" xfId="0" applyNumberFormat="1" applyFont="1"/>
    <xf numFmtId="2" fontId="0" fillId="0" borderId="1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6" fillId="0" borderId="0" xfId="0" applyFont="1"/>
    <xf numFmtId="165" fontId="0" fillId="0" borderId="0" xfId="0" applyNumberFormat="1"/>
    <xf numFmtId="0" fontId="1" fillId="0" borderId="0" xfId="0" applyFont="1"/>
    <xf numFmtId="0" fontId="0" fillId="0" borderId="0" xfId="0"/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2" fontId="0" fillId="0" borderId="12" xfId="0" applyNumberFormat="1" applyBorder="1"/>
    <xf numFmtId="2" fontId="0" fillId="0" borderId="0" xfId="0" applyNumberFormat="1" applyBorder="1"/>
    <xf numFmtId="2" fontId="0" fillId="0" borderId="11" xfId="0" applyNumberFormat="1" applyBorder="1"/>
    <xf numFmtId="0" fontId="7" fillId="0" borderId="0" xfId="0" applyFont="1"/>
    <xf numFmtId="2" fontId="7" fillId="0" borderId="0" xfId="0" applyNumberFormat="1" applyFont="1"/>
    <xf numFmtId="49" fontId="0" fillId="0" borderId="0" xfId="0" applyNumberFormat="1"/>
    <xf numFmtId="2" fontId="0" fillId="0" borderId="13" xfId="0" applyNumberForma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Retail!$B$7</c:f>
              <c:strCache>
                <c:ptCount val="1"/>
                <c:pt idx="0">
                  <c:v>spontanes Laden 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Retail!$A$8:$A$93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Retail!$B$8:$B$93</c:f>
              <c:numCache>
                <c:formatCode>0.00</c:formatCode>
                <c:ptCount val="86"/>
                <c:pt idx="0">
                  <c:v>0</c:v>
                </c:pt>
                <c:pt idx="1">
                  <c:v>1.6936342556654523E-21</c:v>
                </c:pt>
                <c:pt idx="2">
                  <c:v>4.3247376875508896E-15</c:v>
                </c:pt>
                <c:pt idx="3">
                  <c:v>6.0165346842938083E-12</c:v>
                </c:pt>
                <c:pt idx="4">
                  <c:v>5.4826034231712107E-10</c:v>
                </c:pt>
                <c:pt idx="5">
                  <c:v>1.2714569338325931E-8</c:v>
                </c:pt>
                <c:pt idx="6">
                  <c:v>1.3167891466795224E-7</c:v>
                </c:pt>
                <c:pt idx="7">
                  <c:v>8.081184336486286E-7</c:v>
                </c:pt>
                <c:pt idx="8">
                  <c:v>3.4506492387134001E-6</c:v>
                </c:pt>
                <c:pt idx="9">
                  <c:v>1.1318861870154263E-5</c:v>
                </c:pt>
                <c:pt idx="10">
                  <c:v>3.0435819336616117E-5</c:v>
                </c:pt>
                <c:pt idx="11">
                  <c:v>7.0150733512672434E-5</c:v>
                </c:pt>
                <c:pt idx="12">
                  <c:v>1.4307803670993803E-4</c:v>
                </c:pt>
                <c:pt idx="13">
                  <c:v>2.64347687138425E-4</c:v>
                </c:pt>
                <c:pt idx="14">
                  <c:v>4.5030511671725887E-4</c:v>
                </c:pt>
                <c:pt idx="15">
                  <c:v>7.169221093998421E-4</c:v>
                </c:pt>
                <c:pt idx="16">
                  <c:v>1.0782059339421442E-3</c:v>
                </c:pt>
                <c:pt idx="17">
                  <c:v>1.5448464055177863E-3</c:v>
                </c:pt>
                <c:pt idx="18">
                  <c:v>2.123255440577238E-3</c:v>
                </c:pt>
                <c:pt idx="19">
                  <c:v>2.8150628801412213E-3</c:v>
                </c:pt>
                <c:pt idx="20">
                  <c:v>3.6170562339630217E-3</c:v>
                </c:pt>
                <c:pt idx="21">
                  <c:v>4.5214994730406743E-3</c:v>
                </c:pt>
                <c:pt idx="22">
                  <c:v>5.5167377060576523E-3</c:v>
                </c:pt>
                <c:pt idx="23">
                  <c:v>6.5879864717512237E-3</c:v>
                </c:pt>
                <c:pt idx="24">
                  <c:v>7.7182106312504778E-3</c:v>
                </c:pt>
                <c:pt idx="25">
                  <c:v>8.8890126848742909E-3</c:v>
                </c:pt>
                <c:pt idx="26">
                  <c:v>1.0081469010649781E-2</c:v>
                </c:pt>
                <c:pt idx="27">
                  <c:v>1.1276871593375315E-2</c:v>
                </c:pt>
                <c:pt idx="28">
                  <c:v>1.2457350113023645E-2</c:v>
                </c:pt>
                <c:pt idx="29">
                  <c:v>1.3606363649567129E-2</c:v>
                </c:pt>
                <c:pt idx="30">
                  <c:v>1.4709062347575373E-2</c:v>
                </c:pt>
                <c:pt idx="31">
                  <c:v>1.5752527267756292E-2</c:v>
                </c:pt>
                <c:pt idx="32">
                  <c:v>1.6725901713773212E-2</c:v>
                </c:pt>
                <c:pt idx="33">
                  <c:v>1.7620430067932073E-2</c:v>
                </c:pt>
                <c:pt idx="34">
                  <c:v>1.8429421130113449E-2</c:v>
                </c:pt>
                <c:pt idx="35">
                  <c:v>1.914815262503931E-2</c:v>
                </c:pt>
                <c:pt idx="36">
                  <c:v>1.977373234919156E-2</c:v>
                </c:pt>
                <c:pt idx="37">
                  <c:v>2.0304929715487821E-2</c:v>
                </c:pt>
                <c:pt idx="38">
                  <c:v>2.0741989486643141E-2</c:v>
                </c:pt>
                <c:pt idx="39">
                  <c:v>2.1086437460825287E-2</c:v>
                </c:pt>
                <c:pt idx="40">
                  <c:v>2.1340885919105341E-2</c:v>
                </c:pt>
                <c:pt idx="41">
                  <c:v>2.1508844848116524E-2</c:v>
                </c:pt>
                <c:pt idx="42">
                  <c:v>2.1594543360799981E-2</c:v>
                </c:pt>
                <c:pt idx="43">
                  <c:v>2.1602764373282346E-2</c:v>
                </c:pt>
                <c:pt idx="44">
                  <c:v>2.1538694457762814E-2</c:v>
                </c:pt>
                <c:pt idx="45">
                  <c:v>2.1407789868109279E-2</c:v>
                </c:pt>
                <c:pt idx="46">
                  <c:v>2.1215659007362945E-2</c:v>
                </c:pt>
                <c:pt idx="47">
                  <c:v>2.0967961051273062E-2</c:v>
                </c:pt>
                <c:pt idx="48">
                  <c:v>2.0670320034757203E-2</c:v>
                </c:pt>
                <c:pt idx="49">
                  <c:v>2.0328253424685507E-2</c:v>
                </c:pt>
                <c:pt idx="50">
                  <c:v>1.9947114020071641E-2</c:v>
                </c:pt>
                <c:pt idx="51">
                  <c:v>1.9532043919282809E-2</c:v>
                </c:pt>
                <c:pt idx="52">
                  <c:v>1.9087939255425509E-2</c:v>
                </c:pt>
                <c:pt idx="53">
                  <c:v>1.8619424410362535E-2</c:v>
                </c:pt>
                <c:pt idx="54">
                  <c:v>1.8130834462075071E-2</c:v>
                </c:pt>
                <c:pt idx="55">
                  <c:v>1.7626204688787141E-2</c:v>
                </c:pt>
                <c:pt idx="56">
                  <c:v>1.7109266037942709E-2</c:v>
                </c:pt>
                <c:pt idx="57">
                  <c:v>1.658344556207144E-2</c:v>
                </c:pt>
                <c:pt idx="58">
                  <c:v>1.6051870921614586E-2</c:v>
                </c:pt>
                <c:pt idx="59">
                  <c:v>1.5517378153010899E-2</c:v>
                </c:pt>
                <c:pt idx="60">
                  <c:v>1.4982521995899766E-2</c:v>
                </c:pt>
                <c:pt idx="61">
                  <c:v>1.4449588164191257E-2</c:v>
                </c:pt>
                <c:pt idx="62">
                  <c:v>1.3920607030652309E-2</c:v>
                </c:pt>
                <c:pt idx="63">
                  <c:v>1.3397368272775576E-2</c:v>
                </c:pt>
                <c:pt idx="64">
                  <c:v>1.2881436098652638E-2</c:v>
                </c:pt>
                <c:pt idx="65">
                  <c:v>1.2374164735289747E-2</c:v>
                </c:pt>
                <c:pt idx="66">
                  <c:v>1.1876713918435387E-2</c:v>
                </c:pt>
                <c:pt idx="67">
                  <c:v>1.1390064172841545E-2</c:v>
                </c:pt>
                <c:pt idx="68">
                  <c:v>1.0915031715367953E-2</c:v>
                </c:pt>
                <c:pt idx="69">
                  <c:v>1.045228285094192E-2</c:v>
                </c:pt>
                <c:pt idx="70">
                  <c:v>1.000234776361116E-2</c:v>
                </c:pt>
                <c:pt idx="71">
                  <c:v>9.5656336323000322E-3</c:v>
                </c:pt>
                <c:pt idx="72">
                  <c:v>9.1424370239069474E-3</c:v>
                </c:pt>
                <c:pt idx="73">
                  <c:v>8.7329555355600864E-3</c:v>
                </c:pt>
                <c:pt idx="74">
                  <c:v>8.3372986736406952E-3</c:v>
                </c:pt>
                <c:pt idx="75">
                  <c:v>7.9554979700223304E-3</c:v>
                </c:pt>
                <c:pt idx="76">
                  <c:v>7.5875163462535379E-3</c:v>
                </c:pt>
                <c:pt idx="77">
                  <c:v>7.2332567444930917E-3</c:v>
                </c:pt>
                <c:pt idx="78">
                  <c:v>6.8925700502081256E-3</c:v>
                </c:pt>
                <c:pt idx="79">
                  <c:v>6.5652623362611549E-3</c:v>
                </c:pt>
                <c:pt idx="80">
                  <c:v>6.251101461289211E-3</c:v>
                </c:pt>
                <c:pt idx="81">
                  <c:v>5.949823057445027E-3</c:v>
                </c:pt>
                <c:pt idx="82">
                  <c:v>5.6611359438202453E-3</c:v>
                </c:pt>
                <c:pt idx="83">
                  <c:v>5.3847270023707405E-3</c:v>
                </c:pt>
                <c:pt idx="84">
                  <c:v>5.1202655530640075E-3</c:v>
                </c:pt>
                <c:pt idx="85">
                  <c:v>4.8674072643876652E-3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A-364E-AAF5-C988FE434606}"/>
            </c:ext>
          </c:extLst>
        </c:ser>
        <c:ser>
          <c:idx val="1"/>
          <c:order val="1"/>
          <c:tx>
            <c:strRef>
              <c:f>Retail!$C$7</c:f>
              <c:strCache>
                <c:ptCount val="1"/>
                <c:pt idx="0">
                  <c:v>leere Batterie 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Retail!$A$8:$A$93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Retail!$C$8:$C$93</c:f>
              <c:numCache>
                <c:formatCode>0.00</c:formatCode>
                <c:ptCount val="86"/>
                <c:pt idx="0">
                  <c:v>0</c:v>
                </c:pt>
                <c:pt idx="1">
                  <c:v>3.8076825549198946E-49</c:v>
                </c:pt>
                <c:pt idx="2">
                  <c:v>1.6464039981542604E-29</c:v>
                </c:pt>
                <c:pt idx="3">
                  <c:v>1.9256931623732499E-20</c:v>
                </c:pt>
                <c:pt idx="4">
                  <c:v>4.3247376875508896E-15</c:v>
                </c:pt>
                <c:pt idx="5">
                  <c:v>1.4723309037990602E-11</c:v>
                </c:pt>
                <c:pt idx="6">
                  <c:v>4.4934659365940978E-9</c:v>
                </c:pt>
                <c:pt idx="7">
                  <c:v>2.9627080076406293E-7</c:v>
                </c:pt>
                <c:pt idx="8">
                  <c:v>6.9012984774268002E-6</c:v>
                </c:pt>
                <c:pt idx="9">
                  <c:v>7.6600499557972427E-5</c:v>
                </c:pt>
                <c:pt idx="10">
                  <c:v>4.9164758551080228E-4</c:v>
                </c:pt>
                <c:pt idx="11">
                  <c:v>2.0807863850683156E-3</c:v>
                </c:pt>
                <c:pt idx="12">
                  <c:v>6.3697663217317253E-3</c:v>
                </c:pt>
                <c:pt idx="13">
                  <c:v>1.5083950394687384E-2</c:v>
                </c:pt>
                <c:pt idx="14">
                  <c:v>2.9049016670574555E-2</c:v>
                </c:pt>
                <c:pt idx="15">
                  <c:v>4.726132330909831E-2</c:v>
                </c:pt>
                <c:pt idx="16">
                  <c:v>6.6903606855092876E-2</c:v>
                </c:pt>
                <c:pt idx="17">
                  <c:v>8.434253321298027E-2</c:v>
                </c:pt>
                <c:pt idx="18">
                  <c:v>9.6459421958288522E-2</c:v>
                </c:pt>
                <c:pt idx="19">
                  <c:v>0.10158827789419432</c:v>
                </c:pt>
                <c:pt idx="20">
                  <c:v>9.9735570100358148E-2</c:v>
                </c:pt>
                <c:pt idx="21">
                  <c:v>9.2201483365140863E-2</c:v>
                </c:pt>
                <c:pt idx="22">
                  <c:v>8.0936251409499629E-2</c:v>
                </c:pt>
                <c:pt idx="23">
                  <c:v>6.793782410986611E-2</c:v>
                </c:pt>
                <c:pt idx="24">
                  <c:v>5.4854622143441598E-2</c:v>
                </c:pt>
                <c:pt idx="25">
                  <c:v>4.2818308387259439E-2</c:v>
                </c:pt>
                <c:pt idx="26">
                  <c:v>3.2450651802775156E-2</c:v>
                </c:pt>
                <c:pt idx="27">
                  <c:v>2.3965929368098816E-2</c:v>
                </c:pt>
                <c:pt idx="28">
                  <c:v>1.7303011695981179E-2</c:v>
                </c:pt>
                <c:pt idx="29">
                  <c:v>1.2246196174040181E-2</c:v>
                </c:pt>
                <c:pt idx="30">
                  <c:v>8.5167333090199488E-3</c:v>
                </c:pt>
                <c:pt idx="31">
                  <c:v>5.832379984392521E-3</c:v>
                </c:pt>
                <c:pt idx="32">
                  <c:v>3.940178833960287E-3</c:v>
                </c:pt>
                <c:pt idx="33">
                  <c:v>2.6301700041114259E-3</c:v>
                </c:pt>
                <c:pt idx="34">
                  <c:v>1.7372699264879643E-3</c:v>
                </c:pt>
                <c:pt idx="35">
                  <c:v>1.1368755117071017E-3</c:v>
                </c:pt>
                <c:pt idx="36">
                  <c:v>7.3791338689205906E-4</c:v>
                </c:pt>
                <c:pt idx="37">
                  <c:v>4.7552758492518246E-4</c:v>
                </c:pt>
                <c:pt idx="38">
                  <c:v>3.0451447943641828E-4</c:v>
                </c:pt>
                <c:pt idx="39">
                  <c:v>1.9393002635915881E-4</c:v>
                </c:pt>
                <c:pt idx="40">
                  <c:v>1.2291189637769976E-4</c:v>
                </c:pt>
                <c:pt idx="41">
                  <c:v>7.7576400418170237E-5</c:v>
                </c:pt>
                <c:pt idx="42">
                  <c:v>4.8786445840488643E-5</c:v>
                </c:pt>
                <c:pt idx="43">
                  <c:v>3.0586144265374083E-5</c:v>
                </c:pt>
                <c:pt idx="44">
                  <c:v>1.9125216298383302E-5</c:v>
                </c:pt>
                <c:pt idx="45">
                  <c:v>1.193230887709346E-5</c:v>
                </c:pt>
                <c:pt idx="46">
                  <c:v>7.4309109264203345E-6</c:v>
                </c:pt>
                <c:pt idx="47">
                  <c:v>4.6206848180923904E-6</c:v>
                </c:pt>
                <c:pt idx="48">
                  <c:v>2.8697934261659589E-6</c:v>
                </c:pt>
                <c:pt idx="49">
                  <c:v>1.7807200271741232E-6</c:v>
                </c:pt>
                <c:pt idx="50">
                  <c:v>1.1042077563882881E-6</c:v>
                </c:pt>
                <c:pt idx="51">
                  <c:v>6.8440843726570997E-7</c:v>
                </c:pt>
                <c:pt idx="52">
                  <c:v>4.2411090009686524E-7</c:v>
                </c:pt>
                <c:pt idx="53">
                  <c:v>2.6279970227330638E-7</c:v>
                </c:pt>
                <c:pt idx="54">
                  <c:v>1.6286434454741068E-7</c:v>
                </c:pt>
                <c:pt idx="55">
                  <c:v>1.0096026005222541E-7</c:v>
                </c:pt>
                <c:pt idx="56">
                  <c:v>6.2612298626069713E-8</c:v>
                </c:pt>
                <c:pt idx="57">
                  <c:v>3.8851648217739067E-8</c:v>
                </c:pt>
                <c:pt idx="58">
                  <c:v>2.412407458437503E-8</c:v>
                </c:pt>
                <c:pt idx="59">
                  <c:v>1.4990961304430437E-8</c:v>
                </c:pt>
                <c:pt idx="60">
                  <c:v>9.3236915916371632E-9</c:v>
                </c:pt>
                <c:pt idx="61">
                  <c:v>5.8044900400334548E-9</c:v>
                </c:pt>
                <c:pt idx="62">
                  <c:v>3.6173677033022874E-9</c:v>
                </c:pt>
                <c:pt idx="63">
                  <c:v>2.2568626256213251E-9</c:v>
                </c:pt>
                <c:pt idx="64">
                  <c:v>1.4097107668028985E-9</c:v>
                </c:pt>
                <c:pt idx="65">
                  <c:v>8.8164388877105107E-10</c:v>
                </c:pt>
                <c:pt idx="66">
                  <c:v>5.5210044433035201E-10</c:v>
                </c:pt>
                <c:pt idx="67">
                  <c:v>3.4619905156793947E-10</c:v>
                </c:pt>
                <c:pt idx="68">
                  <c:v>2.1738803838781035E-10</c:v>
                </c:pt>
                <c:pt idx="69">
                  <c:v>1.3669877591585957E-10</c:v>
                </c:pt>
                <c:pt idx="70">
                  <c:v>8.6085162052030238E-11</c:v>
                </c:pt>
                <c:pt idx="71">
                  <c:v>5.4292589446150522E-11</c:v>
                </c:pt>
                <c:pt idx="72">
                  <c:v>3.4293657362036607E-11</c:v>
                </c:pt>
                <c:pt idx="73">
                  <c:v>2.169497295549725E-11</c:v>
                </c:pt>
                <c:pt idx="74">
                  <c:v>1.37463153654772E-11</c:v>
                </c:pt>
                <c:pt idx="75">
                  <c:v>8.7237668689603899E-12</c:v>
                </c:pt>
                <c:pt idx="76">
                  <c:v>5.5452352896734938E-12</c:v>
                </c:pt>
                <c:pt idx="77">
                  <c:v>3.5305367341501832E-12</c:v>
                </c:pt>
                <c:pt idx="78">
                  <c:v>2.2515006313164895E-12</c:v>
                </c:pt>
                <c:pt idx="79">
                  <c:v>1.4381987978812609E-12</c:v>
                </c:pt>
                <c:pt idx="80">
                  <c:v>9.202068148744215E-13</c:v>
                </c:pt>
                <c:pt idx="81">
                  <c:v>5.8975972040353187E-13</c:v>
                </c:pt>
                <c:pt idx="82">
                  <c:v>3.7860881707200654E-13</c:v>
                </c:pt>
                <c:pt idx="83">
                  <c:v>2.4346386397883345E-13</c:v>
                </c:pt>
                <c:pt idx="84">
                  <c:v>1.5682241354627948E-13</c:v>
                </c:pt>
                <c:pt idx="85">
                  <c:v>1.011842110998068E-13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8A-364E-AAF5-C988FE434606}"/>
            </c:ext>
          </c:extLst>
        </c:ser>
        <c:ser>
          <c:idx val="2"/>
          <c:order val="2"/>
          <c:tx>
            <c:strRef>
              <c:f>Retail!$D$7</c:f>
              <c:strCache>
                <c:ptCount val="1"/>
                <c:pt idx="0">
                  <c:v>Mischung 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Retail!$A$8:$A$93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Retail!$D$8:$D$93</c:f>
              <c:numCache>
                <c:formatCode>0.00</c:formatCode>
                <c:ptCount val="86"/>
                <c:pt idx="0">
                  <c:v>0</c:v>
                </c:pt>
                <c:pt idx="1">
                  <c:v>1.100862266182544E-21</c:v>
                </c:pt>
                <c:pt idx="2">
                  <c:v>2.8110794969080841E-15</c:v>
                </c:pt>
                <c:pt idx="3">
                  <c:v>3.9107475515309016E-12</c:v>
                </c:pt>
                <c:pt idx="4">
                  <c:v>3.5637073616431937E-10</c:v>
                </c:pt>
                <c:pt idx="5">
                  <c:v>8.2696232280751531E-9</c:v>
                </c:pt>
                <c:pt idx="6">
                  <c:v>8.7164007611976895E-8</c:v>
                </c:pt>
                <c:pt idx="7">
                  <c:v>6.289717621390306E-7</c:v>
                </c:pt>
                <c:pt idx="8">
                  <c:v>4.6583764722630896E-6</c:v>
                </c:pt>
                <c:pt idx="9">
                  <c:v>3.416743506089062E-5</c:v>
                </c:pt>
                <c:pt idx="10">
                  <c:v>1.9185993749758126E-4</c:v>
                </c:pt>
                <c:pt idx="11">
                  <c:v>7.7387321155714746E-4</c:v>
                </c:pt>
                <c:pt idx="12">
                  <c:v>2.3224189364675634E-3</c:v>
                </c:pt>
                <c:pt idx="13">
                  <c:v>5.4512086347805596E-3</c:v>
                </c:pt>
                <c:pt idx="14">
                  <c:v>1.0459854160567312E-2</c:v>
                </c:pt>
                <c:pt idx="15">
                  <c:v>1.7007462529294304E-2</c:v>
                </c:pt>
                <c:pt idx="16">
                  <c:v>2.4117096256344901E-2</c:v>
                </c:pt>
                <c:pt idx="17">
                  <c:v>3.0524036788129653E-2</c:v>
                </c:pt>
                <c:pt idx="18">
                  <c:v>3.5140913721776183E-2</c:v>
                </c:pt>
                <c:pt idx="19">
                  <c:v>3.7385688135059804E-2</c:v>
                </c:pt>
                <c:pt idx="20">
                  <c:v>3.725853608720131E-2</c:v>
                </c:pt>
                <c:pt idx="21">
                  <c:v>3.5209493835275739E-2</c:v>
                </c:pt>
                <c:pt idx="22">
                  <c:v>3.191356750226234E-2</c:v>
                </c:pt>
                <c:pt idx="23">
                  <c:v>2.8060429645091433E-2</c:v>
                </c:pt>
                <c:pt idx="24">
                  <c:v>2.4215954660517368E-2</c:v>
                </c:pt>
                <c:pt idx="25">
                  <c:v>2.0764266180709093E-2</c:v>
                </c:pt>
                <c:pt idx="26">
                  <c:v>1.791068298789366E-2</c:v>
                </c:pt>
                <c:pt idx="27">
                  <c:v>1.571804181452854E-2</c:v>
                </c:pt>
                <c:pt idx="28">
                  <c:v>1.4153331667058781E-2</c:v>
                </c:pt>
                <c:pt idx="29">
                  <c:v>1.3130305033132696E-2</c:v>
                </c:pt>
                <c:pt idx="30">
                  <c:v>1.2541747184080975E-2</c:v>
                </c:pt>
                <c:pt idx="31">
                  <c:v>1.2280475718578973E-2</c:v>
                </c:pt>
                <c:pt idx="32">
                  <c:v>1.2250898705838689E-2</c:v>
                </c:pt>
                <c:pt idx="33">
                  <c:v>1.2373839045594847E-2</c:v>
                </c:pt>
                <c:pt idx="34">
                  <c:v>1.2587168208844529E-2</c:v>
                </c:pt>
                <c:pt idx="35">
                  <c:v>1.2844205635373036E-2</c:v>
                </c:pt>
                <c:pt idx="36">
                  <c:v>1.3111195712386734E-2</c:v>
                </c:pt>
                <c:pt idx="37">
                  <c:v>1.3364638969790897E-2</c:v>
                </c:pt>
                <c:pt idx="38">
                  <c:v>1.3588873234120788E-2</c:v>
                </c:pt>
                <c:pt idx="39">
                  <c:v>1.3774059858762143E-2</c:v>
                </c:pt>
                <c:pt idx="40">
                  <c:v>1.3914595011150667E-2</c:v>
                </c:pt>
                <c:pt idx="41">
                  <c:v>1.4007900891422101E-2</c:v>
                </c:pt>
                <c:pt idx="42">
                  <c:v>1.4053528440564159E-2</c:v>
                </c:pt>
                <c:pt idx="43">
                  <c:v>1.4052501993126408E-2</c:v>
                </c:pt>
                <c:pt idx="44">
                  <c:v>1.4006845223250264E-2</c:v>
                </c:pt>
                <c:pt idx="45">
                  <c:v>1.3919239722378015E-2</c:v>
                </c:pt>
                <c:pt idx="46">
                  <c:v>1.3792779173610161E-2</c:v>
                </c:pt>
                <c:pt idx="47">
                  <c:v>1.3630791923013823E-2</c:v>
                </c:pt>
                <c:pt idx="48">
                  <c:v>1.3436712450291341E-2</c:v>
                </c:pt>
                <c:pt idx="49">
                  <c:v>1.321398797805509E-2</c:v>
                </c:pt>
                <c:pt idx="50">
                  <c:v>1.2966010585761302E-2</c:v>
                </c:pt>
                <c:pt idx="51">
                  <c:v>1.2696068090486869E-2</c:v>
                </c:pt>
                <c:pt idx="52">
                  <c:v>1.2407308954841614E-2</c:v>
                </c:pt>
                <c:pt idx="53">
                  <c:v>1.2102717846631443E-2</c:v>
                </c:pt>
                <c:pt idx="54">
                  <c:v>1.1785099402869387E-2</c:v>
                </c:pt>
                <c:pt idx="55">
                  <c:v>1.1457068383802661E-2</c:v>
                </c:pt>
                <c:pt idx="56">
                  <c:v>1.1121044838967279E-2</c:v>
                </c:pt>
                <c:pt idx="57">
                  <c:v>1.0779253213423313E-2</c:v>
                </c:pt>
                <c:pt idx="58">
                  <c:v>1.0433724542475585E-2</c:v>
                </c:pt>
                <c:pt idx="59">
                  <c:v>1.0086301046293541E-2</c:v>
                </c:pt>
                <c:pt idx="60">
                  <c:v>9.7386425606269048E-3</c:v>
                </c:pt>
                <c:pt idx="61">
                  <c:v>9.3922343382958316E-3</c:v>
                </c:pt>
                <c:pt idx="62">
                  <c:v>9.0483958360026984E-3</c:v>
                </c:pt>
                <c:pt idx="63">
                  <c:v>8.7082901672060429E-3</c:v>
                </c:pt>
                <c:pt idx="64">
                  <c:v>8.3729339575229836E-3</c:v>
                </c:pt>
                <c:pt idx="65">
                  <c:v>8.0432073865136979E-3</c:v>
                </c:pt>
                <c:pt idx="66">
                  <c:v>7.7198642402181578E-3</c:v>
                </c:pt>
                <c:pt idx="67">
                  <c:v>7.4035418335166728E-3</c:v>
                </c:pt>
                <c:pt idx="68">
                  <c:v>7.0947706910749831E-3</c:v>
                </c:pt>
                <c:pt idx="69">
                  <c:v>6.7939839009568195E-3</c:v>
                </c:pt>
                <c:pt idx="70">
                  <c:v>6.5015260764770613E-3</c:v>
                </c:pt>
                <c:pt idx="71">
                  <c:v>6.2176618799974276E-3</c:v>
                </c:pt>
                <c:pt idx="72">
                  <c:v>5.9425840775422963E-3</c:v>
                </c:pt>
                <c:pt idx="73">
                  <c:v>5.6764211057072963E-3</c:v>
                </c:pt>
                <c:pt idx="74">
                  <c:v>5.4192441426776624E-3</c:v>
                </c:pt>
                <c:pt idx="75">
                  <c:v>5.1710736835678334E-3</c:v>
                </c:pt>
                <c:pt idx="76">
                  <c:v>4.9318856270056319E-3</c:v>
                </c:pt>
                <c:pt idx="77">
                  <c:v>4.7016168851561979E-3</c:v>
                </c:pt>
                <c:pt idx="78">
                  <c:v>4.4801705334233067E-3</c:v>
                </c:pt>
                <c:pt idx="79">
                  <c:v>4.2674205190731205E-3</c:v>
                </c:pt>
                <c:pt idx="80">
                  <c:v>4.0632159501600594E-3</c:v>
                </c:pt>
                <c:pt idx="81">
                  <c:v>3.8673849875456839E-3</c:v>
                </c:pt>
                <c:pt idx="82">
                  <c:v>3.6797383636156724E-3</c:v>
                </c:pt>
                <c:pt idx="83">
                  <c:v>3.5000725516261938E-3</c:v>
                </c:pt>
                <c:pt idx="84">
                  <c:v>3.328172609546493E-3</c:v>
                </c:pt>
                <c:pt idx="85">
                  <c:v>3.1638147218873967E-3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8A-364E-AAF5-C988FE434606}"/>
            </c:ext>
          </c:extLst>
        </c:ser>
        <c:ser>
          <c:idx val="3"/>
          <c:order val="3"/>
          <c:tx>
            <c:strRef>
              <c:f>Retail!$E$7</c:f>
              <c:strCache>
                <c:ptCount val="1"/>
                <c:pt idx="0">
                  <c:v>Normiert f_norm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Retail!$A$8:$A$93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Retail!$E$8:$E$93</c:f>
              <c:numCache>
                <c:formatCode>0.00</c:formatCode>
                <c:ptCount val="86"/>
                <c:pt idx="0">
                  <c:v>0</c:v>
                </c:pt>
                <c:pt idx="1">
                  <c:v>1.1691934098417567E-21</c:v>
                </c:pt>
                <c:pt idx="2">
                  <c:v>2.9855647916096489E-15</c:v>
                </c:pt>
                <c:pt idx="3">
                  <c:v>4.1534898645045585E-12</c:v>
                </c:pt>
                <c:pt idx="4">
                  <c:v>3.78490869369744E-10</c:v>
                </c:pt>
                <c:pt idx="5">
                  <c:v>8.7829234202641966E-9</c:v>
                </c:pt>
                <c:pt idx="6">
                  <c:v>9.2574326876257209E-8</c:v>
                </c:pt>
                <c:pt idx="7">
                  <c:v>6.6801239524688169E-7</c:v>
                </c:pt>
                <c:pt idx="8">
                  <c:v>4.9475245353070844E-6</c:v>
                </c:pt>
                <c:pt idx="9">
                  <c:v>3.6288227084863401E-5</c:v>
                </c:pt>
                <c:pt idx="10">
                  <c:v>2.0376879236010307E-4</c:v>
                </c:pt>
                <c:pt idx="11">
                  <c:v>8.2190795960632732E-4</c:v>
                </c:pt>
                <c:pt idx="12">
                  <c:v>2.4665727937297818E-3</c:v>
                </c:pt>
                <c:pt idx="13">
                  <c:v>5.7895682386856001E-3</c:v>
                </c:pt>
                <c:pt idx="14">
                  <c:v>1.1109103225828327E-2</c:v>
                </c:pt>
                <c:pt idx="15">
                  <c:v>1.8063125350219061E-2</c:v>
                </c:pt>
                <c:pt idx="16">
                  <c:v>2.5614058064882449E-2</c:v>
                </c:pt>
                <c:pt idx="17">
                  <c:v>3.2418681020111098E-2</c:v>
                </c:pt>
                <c:pt idx="18">
                  <c:v>3.7322130116961914E-2</c:v>
                </c:pt>
                <c:pt idx="19">
                  <c:v>3.9706238948027439E-2</c:v>
                </c:pt>
                <c:pt idx="20">
                  <c:v>3.9571194500623894E-2</c:v>
                </c:pt>
                <c:pt idx="21">
                  <c:v>3.7394967036904619E-2</c:v>
                </c:pt>
                <c:pt idx="22">
                  <c:v>3.3894460691777359E-2</c:v>
                </c:pt>
                <c:pt idx="23">
                  <c:v>2.9802156387953586E-2</c:v>
                </c:pt>
                <c:pt idx="24">
                  <c:v>2.5719052666129644E-2</c:v>
                </c:pt>
                <c:pt idx="25">
                  <c:v>2.2053115929635717E-2</c:v>
                </c:pt>
                <c:pt idx="26">
                  <c:v>1.9022409213667883E-2</c:v>
                </c:pt>
                <c:pt idx="27">
                  <c:v>1.6693669562216247E-2</c:v>
                </c:pt>
                <c:pt idx="28">
                  <c:v>1.5031836970680399E-2</c:v>
                </c:pt>
                <c:pt idx="29">
                  <c:v>1.3945310494823667E-2</c:v>
                </c:pt>
                <c:pt idx="30">
                  <c:v>1.3320220527113024E-2</c:v>
                </c:pt>
                <c:pt idx="31">
                  <c:v>1.3042731793936675E-2</c:v>
                </c:pt>
                <c:pt idx="32">
                  <c:v>1.3011318919282826E-2</c:v>
                </c:pt>
                <c:pt idx="33">
                  <c:v>1.3141890235479407E-2</c:v>
                </c:pt>
                <c:pt idx="34">
                  <c:v>1.3368460860579955E-2</c:v>
                </c:pt>
                <c:pt idx="35">
                  <c:v>1.3641452745588376E-2</c:v>
                </c:pt>
                <c:pt idx="36">
                  <c:v>1.3925015047728174E-2</c:v>
                </c:pt>
                <c:pt idx="37">
                  <c:v>1.4194189671501354E-2</c:v>
                </c:pt>
                <c:pt idx="38">
                  <c:v>1.4432342283475567E-2</c:v>
                </c:pt>
                <c:pt idx="39">
                  <c:v>1.4629023546675125E-2</c:v>
                </c:pt>
                <c:pt idx="40">
                  <c:v>1.4778281795478181E-2</c:v>
                </c:pt>
                <c:pt idx="41">
                  <c:v>1.4877379224524544E-2</c:v>
                </c:pt>
                <c:pt idx="42">
                  <c:v>1.4925838901454991E-2</c:v>
                </c:pt>
                <c:pt idx="43">
                  <c:v>1.4924748741844081E-2</c:v>
                </c:pt>
                <c:pt idx="44">
                  <c:v>1.4876258030432053E-2</c:v>
                </c:pt>
                <c:pt idx="45">
                  <c:v>1.478321480655909E-2</c:v>
                </c:pt>
                <c:pt idx="46">
                  <c:v>1.4648904779985946E-2</c:v>
                </c:pt>
                <c:pt idx="47">
                  <c:v>1.4476862889103097E-2</c:v>
                </c:pt>
                <c:pt idx="48">
                  <c:v>1.4270736793711013E-2</c:v>
                </c:pt>
                <c:pt idx="49">
                  <c:v>1.4034187687479837E-2</c:v>
                </c:pt>
                <c:pt idx="50">
                  <c:v>1.3770818198156671E-2</c:v>
                </c:pt>
                <c:pt idx="51">
                  <c:v>1.3484120219484403E-2</c:v>
                </c:pt>
                <c:pt idx="52">
                  <c:v>1.317743764092825E-2</c:v>
                </c:pt>
                <c:pt idx="53">
                  <c:v>1.2853940390313359E-2</c:v>
                </c:pt>
                <c:pt idx="54">
                  <c:v>1.251660719005885E-2</c:v>
                </c:pt>
                <c:pt idx="55">
                  <c:v>1.216821510005974E-2</c:v>
                </c:pt>
                <c:pt idx="56">
                  <c:v>1.1811334383695858E-2</c:v>
                </c:pt>
                <c:pt idx="57">
                  <c:v>1.1448327558590597E-2</c:v>
                </c:pt>
                <c:pt idx="58">
                  <c:v>1.1081351727559184E-2</c:v>
                </c:pt>
                <c:pt idx="59">
                  <c:v>1.0712363458419189E-2</c:v>
                </c:pt>
                <c:pt idx="60">
                  <c:v>1.0343125613864352E-2</c:v>
                </c:pt>
                <c:pt idx="61">
                  <c:v>9.9752156371976358E-3</c:v>
                </c:pt>
                <c:pt idx="62">
                  <c:v>9.6100348845453952E-3</c:v>
                </c:pt>
                <c:pt idx="63">
                  <c:v>9.2488186644765595E-3</c:v>
                </c:pt>
                <c:pt idx="64">
                  <c:v>8.8926467051354385E-3</c:v>
                </c:pt>
                <c:pt idx="65">
                  <c:v>8.5424538193254601E-3</c:v>
                </c:pt>
                <c:pt idx="66">
                  <c:v>8.1990405810125431E-3</c:v>
                </c:pt>
                <c:pt idx="67">
                  <c:v>7.8630838635721668E-3</c:v>
                </c:pt>
                <c:pt idx="68">
                  <c:v>7.535147121636214E-3</c:v>
                </c:pt>
                <c:pt idx="69">
                  <c:v>7.2156903252895421E-3</c:v>
                </c:pt>
                <c:pt idx="70">
                  <c:v>6.9050794781904462E-3</c:v>
                </c:pt>
                <c:pt idx="71">
                  <c:v>6.6035956704431657E-3</c:v>
                </c:pt>
                <c:pt idx="72">
                  <c:v>6.3114436331682669E-3</c:v>
                </c:pt>
                <c:pt idx="73">
                  <c:v>6.0287597750935309E-3</c:v>
                </c:pt>
                <c:pt idx="74">
                  <c:v>5.7556196924744164E-3</c:v>
                </c:pt>
                <c:pt idx="75">
                  <c:v>5.4920451525687121E-3</c:v>
                </c:pt>
                <c:pt idx="76">
                  <c:v>5.238010558018434E-3</c:v>
                </c:pt>
                <c:pt idx="77">
                  <c:v>4.9934489050911203E-3</c:v>
                </c:pt>
                <c:pt idx="78">
                  <c:v>4.7582572530260265E-3</c:v>
                </c:pt>
                <c:pt idx="79">
                  <c:v>4.532301724924811E-3</c:v>
                </c:pt>
                <c:pt idx="80">
                  <c:v>4.3154220628934684E-3</c:v>
                </c:pt>
                <c:pt idx="81">
                  <c:v>4.1074357616410206E-3</c:v>
                </c:pt>
                <c:pt idx="82">
                  <c:v>3.9081418056052487E-3</c:v>
                </c:pt>
                <c:pt idx="83">
                  <c:v>3.7173240350221906E-3</c:v>
                </c:pt>
                <c:pt idx="84">
                  <c:v>3.534754166287641E-3</c:v>
                </c:pt>
                <c:pt idx="85">
                  <c:v>3.3601944915583938E-3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8A-364E-AAF5-C988FE434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082256"/>
        <c:axId val="292083968"/>
      </c:lineChart>
      <c:catAx>
        <c:axId val="29208225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2083968"/>
        <c:crosses val="autoZero"/>
        <c:auto val="1"/>
        <c:lblAlgn val="ctr"/>
        <c:lblOffset val="100"/>
        <c:noMultiLvlLbl val="0"/>
      </c:catAx>
      <c:valAx>
        <c:axId val="29208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208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Büro!$B$7</c:f>
              <c:strCache>
                <c:ptCount val="1"/>
                <c:pt idx="0">
                  <c:v>spontanes Laden 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Büro!$A$8:$A$92</c:f>
              <c:numCache>
                <c:formatCode>0.00</c:formatCode>
                <c:ptCount val="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</c:numCache>
            </c:numRef>
          </c:cat>
          <c:val>
            <c:numRef>
              <c:f>Büro!$B$8:$B$92</c:f>
              <c:numCache>
                <c:formatCode>0.00</c:formatCode>
                <c:ptCount val="85"/>
                <c:pt idx="0">
                  <c:v>0</c:v>
                </c:pt>
                <c:pt idx="1">
                  <c:v>4.3112605741533346E-79</c:v>
                </c:pt>
                <c:pt idx="2">
                  <c:v>2.3623157047270362E-53</c:v>
                </c:pt>
                <c:pt idx="3">
                  <c:v>1.026435544726767E-40</c:v>
                </c:pt>
                <c:pt idx="4">
                  <c:v>7.8635614112628808E-33</c:v>
                </c:pt>
                <c:pt idx="5">
                  <c:v>2.4680069868249666E-27</c:v>
                </c:pt>
                <c:pt idx="6">
                  <c:v>3.035177088231445E-23</c:v>
                </c:pt>
                <c:pt idx="7">
                  <c:v>4.5553400019356154E-20</c:v>
                </c:pt>
                <c:pt idx="8">
                  <c:v>1.5901874055557755E-17</c:v>
                </c:pt>
                <c:pt idx="9">
                  <c:v>1.9221056389115396E-15</c:v>
                </c:pt>
                <c:pt idx="10">
                  <c:v>1.0443663120103253E-13</c:v>
                </c:pt>
                <c:pt idx="11">
                  <c:v>3.052044906699251E-12</c:v>
                </c:pt>
                <c:pt idx="12">
                  <c:v>5.4523542931002267E-11</c:v>
                </c:pt>
                <c:pt idx="13">
                  <c:v>6.5420931308808059E-10</c:v>
                </c:pt>
                <c:pt idx="14">
                  <c:v>5.6600643493948865E-9</c:v>
                </c:pt>
                <c:pt idx="15">
                  <c:v>3.7294766366548679E-8</c:v>
                </c:pt>
                <c:pt idx="16">
                  <c:v>1.953552186007571E-7</c:v>
                </c:pt>
                <c:pt idx="17">
                  <c:v>8.4177384116771402E-7</c:v>
                </c:pt>
                <c:pt idx="18">
                  <c:v>3.0672437677452421E-6</c:v>
                </c:pt>
                <c:pt idx="19">
                  <c:v>9.6668613430451814E-6</c:v>
                </c:pt>
                <c:pt idx="20">
                  <c:v>2.6847694973460313E-5</c:v>
                </c:pt>
                <c:pt idx="21">
                  <c:v>6.6737650090697116E-5</c:v>
                </c:pt>
                <c:pt idx="22">
                  <c:v>1.5044040525646248E-4</c:v>
                </c:pt>
                <c:pt idx="23">
                  <c:v>3.1096490919035668E-4</c:v>
                </c:pt>
                <c:pt idx="24">
                  <c:v>5.9502030028271615E-4</c:v>
                </c:pt>
                <c:pt idx="25">
                  <c:v>1.0625952771245663E-3</c:v>
                </c:pt>
                <c:pt idx="26">
                  <c:v>1.7835407563779658E-3</c:v>
                </c:pt>
                <c:pt idx="27">
                  <c:v>2.8310072541029921E-3</c:v>
                </c:pt>
                <c:pt idx="28">
                  <c:v>4.2723775177695008E-3</c:v>
                </c:pt>
                <c:pt idx="29">
                  <c:v>6.1590377541699184E-3</c:v>
                </c:pt>
                <c:pt idx="30">
                  <c:v>8.5167333090200026E-3</c:v>
                </c:pt>
                <c:pt idx="31">
                  <c:v>1.1338245862031108E-2</c:v>
                </c:pt>
                <c:pt idx="32">
                  <c:v>1.457972746646008E-2</c:v>
                </c:pt>
                <c:pt idx="33">
                  <c:v>1.8161357132661204E-2</c:v>
                </c:pt>
                <c:pt idx="34">
                  <c:v>2.1972226801625434E-2</c:v>
                </c:pt>
                <c:pt idx="35">
                  <c:v>2.5878689309857671E-2</c:v>
                </c:pt>
                <c:pt idx="36">
                  <c:v>2.9734936380041252E-2</c:v>
                </c:pt>
                <c:pt idx="37">
                  <c:v>3.3394375985568388E-2</c:v>
                </c:pt>
                <c:pt idx="38">
                  <c:v>3.6720435702600092E-2</c:v>
                </c:pt>
                <c:pt idx="39">
                  <c:v>3.9595673963560458E-2</c:v>
                </c:pt>
                <c:pt idx="40">
                  <c:v>4.1928452782596125E-2</c:v>
                </c:pt>
                <c:pt idx="41">
                  <c:v>4.3656830597820738E-2</c:v>
                </c:pt>
                <c:pt idx="42">
                  <c:v>4.4749704259734464E-2</c:v>
                </c:pt>
                <c:pt idx="43">
                  <c:v>4.5205519820707647E-2</c:v>
                </c:pt>
                <c:pt idx="44">
                  <c:v>4.5049061826044678E-2</c:v>
                </c:pt>
                <c:pt idx="45">
                  <c:v>4.4326920044603618E-2</c:v>
                </c:pt>
                <c:pt idx="46">
                  <c:v>4.3102235239297196E-2</c:v>
                </c:pt>
                <c:pt idx="47">
                  <c:v>4.1449263768117625E-2</c:v>
                </c:pt>
                <c:pt idx="48">
                  <c:v>3.944819879865899E-2</c:v>
                </c:pt>
                <c:pt idx="49">
                  <c:v>3.7180566024861035E-2</c:v>
                </c:pt>
                <c:pt idx="50">
                  <c:v>3.4725391904983867E-2</c:v>
                </c:pt>
                <c:pt idx="51">
                  <c:v>3.215623514466337E-2</c:v>
                </c:pt>
                <c:pt idx="52">
                  <c:v>2.953908474594125E-2</c:v>
                </c:pt>
                <c:pt idx="53">
                  <c:v>2.6931063318281687E-2</c:v>
                </c:pt>
                <c:pt idx="54">
                  <c:v>2.437983206375182E-2</c:v>
                </c:pt>
                <c:pt idx="55">
                  <c:v>2.192357129307497E-2</c:v>
                </c:pt>
                <c:pt idx="56">
                  <c:v>1.9591403728387607E-2</c:v>
                </c:pt>
                <c:pt idx="57">
                  <c:v>1.7404133064267066E-2</c:v>
                </c:pt>
                <c:pt idx="58">
                  <c:v>1.5375183346510822E-2</c:v>
                </c:pt>
                <c:pt idx="59">
                  <c:v>1.3511642275577947E-2</c:v>
                </c:pt>
                <c:pt idx="60">
                  <c:v>1.1815330827274581E-2</c:v>
                </c:pt>
                <c:pt idx="61">
                  <c:v>1.0283840606255576E-2</c:v>
                </c:pt>
                <c:pt idx="62">
                  <c:v>8.9114977714315115E-3</c:v>
                </c:pt>
                <c:pt idx="63">
                  <c:v>7.6902274204360731E-3</c:v>
                </c:pt>
                <c:pt idx="64">
                  <c:v>6.610304656188796E-3</c:v>
                </c:pt>
                <c:pt idx="65">
                  <c:v>5.6609881644676492E-3</c:v>
                </c:pt>
                <c:pt idx="66">
                  <c:v>4.8310392013583801E-3</c:v>
                </c:pt>
                <c:pt idx="67">
                  <c:v>4.1091337412776374E-3</c:v>
                </c:pt>
                <c:pt idx="68">
                  <c:v>3.4841785439039402E-3</c:v>
                </c:pt>
                <c:pt idx="69">
                  <c:v>2.9455434434778787E-3</c:v>
                </c:pt>
                <c:pt idx="70">
                  <c:v>2.4832226042368079E-3</c:v>
                </c:pt>
                <c:pt idx="71">
                  <c:v>2.0879371364477916E-3</c:v>
                </c:pt>
                <c:pt idx="72">
                  <c:v>1.7511905928712405E-3</c:v>
                </c:pt>
                <c:pt idx="73">
                  <c:v>1.4652876774171404E-3</c:v>
                </c:pt>
                <c:pt idx="74">
                  <c:v>1.2233251588324597E-3</c:v>
                </c:pt>
                <c:pt idx="75">
                  <c:v>1.0191626114770774E-3</c:v>
                </c:pt>
                <c:pt idx="76">
                  <c:v>8.4737928488881923E-4</c:v>
                </c:pt>
                <c:pt idx="77">
                  <c:v>7.0322218657730047E-4</c:v>
                </c:pt>
                <c:pt idx="78">
                  <c:v>5.8254937804623919E-4</c:v>
                </c:pt>
                <c:pt idx="79">
                  <c:v>4.8177154511809073E-4</c:v>
                </c:pt>
                <c:pt idx="80">
                  <c:v>3.977941108502362E-4</c:v>
                </c:pt>
                <c:pt idx="81">
                  <c:v>3.2796150528535803E-4</c:v>
                </c:pt>
                <c:pt idx="82">
                  <c:v>2.7000467866922565E-4</c:v>
                </c:pt>
                <c:pt idx="83">
                  <c:v>2.2199252874843941E-4</c:v>
                </c:pt>
                <c:pt idx="84">
                  <c:v>1.8228759262593094E-4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5-C345-B381-49B6A2460F20}"/>
            </c:ext>
          </c:extLst>
        </c:ser>
        <c:ser>
          <c:idx val="1"/>
          <c:order val="1"/>
          <c:tx>
            <c:strRef>
              <c:f>Büro!$C$7</c:f>
              <c:strCache>
                <c:ptCount val="1"/>
                <c:pt idx="0">
                  <c:v>leere Batterie 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Büro!$A$8:$A$92</c:f>
              <c:numCache>
                <c:formatCode>0.00</c:formatCode>
                <c:ptCount val="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</c:numCache>
            </c:numRef>
          </c:cat>
          <c:val>
            <c:numRef>
              <c:f>Büro!$C$8:$C$92</c:f>
              <c:numCache>
                <c:formatCode>0.00</c:formatCode>
                <c:ptCount val="85"/>
                <c:pt idx="0">
                  <c:v>0</c:v>
                </c:pt>
                <c:pt idx="1">
                  <c:v>1.6322383101492363E-28</c:v>
                </c:pt>
                <c:pt idx="2">
                  <c:v>1.3452134502206306E-18</c:v>
                </c:pt>
                <c:pt idx="3">
                  <c:v>7.1536576240140659E-14</c:v>
                </c:pt>
                <c:pt idx="4">
                  <c:v>5.3256863080632025E-11</c:v>
                </c:pt>
                <c:pt idx="5">
                  <c:v>4.7745300659747201E-9</c:v>
                </c:pt>
                <c:pt idx="6">
                  <c:v>1.2471591240777478E-7</c:v>
                </c:pt>
                <c:pt idx="7">
                  <c:v>1.4751218962048775E-6</c:v>
                </c:pt>
                <c:pt idx="8">
                  <c:v>1.0128303587598684E-5</c:v>
                </c:pt>
                <c:pt idx="9">
                  <c:v>4.7005369652148987E-5</c:v>
                </c:pt>
                <c:pt idx="10">
                  <c:v>1.6282690948352902E-4</c:v>
                </c:pt>
                <c:pt idx="11">
                  <c:v>4.5049335420409628E-4</c:v>
                </c:pt>
                <c:pt idx="12">
                  <c:v>1.0444612519487861E-3</c:v>
                </c:pt>
                <c:pt idx="13">
                  <c:v>2.1017712173913754E-3</c:v>
                </c:pt>
                <c:pt idx="14">
                  <c:v>3.7687611405464506E-3</c:v>
                </c:pt>
                <c:pt idx="15">
                  <c:v>6.1444911863478106E-3</c:v>
                </c:pt>
                <c:pt idx="16">
                  <c:v>9.2528300613026436E-3</c:v>
                </c:pt>
                <c:pt idx="17">
                  <c:v>1.3030873018160536E-2</c:v>
                </c:pt>
                <c:pt idx="18">
                  <c:v>1.7335136798414419E-2</c:v>
                </c:pt>
                <c:pt idx="19">
                  <c:v>2.1961804883945918E-2</c:v>
                </c:pt>
                <c:pt idx="20">
                  <c:v>2.6674634316698191E-2</c:v>
                </c:pt>
                <c:pt idx="21">
                  <c:v>3.1233958438484765E-2</c:v>
                </c:pt>
                <c:pt idx="22">
                  <c:v>3.5421693124161838E-2</c:v>
                </c:pt>
                <c:pt idx="23">
                  <c:v>3.9059388344738231E-2</c:v>
                </c:pt>
                <c:pt idx="24">
                  <c:v>4.2018403244153749E-2</c:v>
                </c:pt>
                <c:pt idx="25">
                  <c:v>4.4222807787256076E-2</c:v>
                </c:pt>
                <c:pt idx="26">
                  <c:v>4.5646510813897673E-2</c:v>
                </c:pt>
                <c:pt idx="27">
                  <c:v>4.6306454639409307E-2</c:v>
                </c:pt>
                <c:pt idx="28">
                  <c:v>4.6253655785212865E-2</c:v>
                </c:pt>
                <c:pt idx="29">
                  <c:v>4.5563576466425629E-2</c:v>
                </c:pt>
                <c:pt idx="30">
                  <c:v>4.4326920044603618E-2</c:v>
                </c:pt>
                <c:pt idx="31">
                  <c:v>4.2641551497928559E-2</c:v>
                </c:pt>
                <c:pt idx="32">
                  <c:v>4.060590633443454E-2</c:v>
                </c:pt>
                <c:pt idx="33">
                  <c:v>3.8313991899695261E-2</c:v>
                </c:pt>
                <c:pt idx="34">
                  <c:v>3.58519061086063E-2</c:v>
                </c:pt>
                <c:pt idx="35">
                  <c:v>3.3295690593193338E-2</c:v>
                </c:pt>
                <c:pt idx="36">
                  <c:v>3.0710283185594524E-2</c:v>
                </c:pt>
                <c:pt idx="37">
                  <c:v>2.8149322813264179E-2</c:v>
                </c:pt>
                <c:pt idx="38">
                  <c:v>2.565557420555507E-2</c:v>
                </c:pt>
                <c:pt idx="39">
                  <c:v>2.3261768986312433E-2</c:v>
                </c:pt>
                <c:pt idx="40">
                  <c:v>2.0991695404890306E-2</c:v>
                </c:pt>
                <c:pt idx="41">
                  <c:v>1.8861405463909374E-2</c:v>
                </c:pt>
                <c:pt idx="42">
                  <c:v>1.688044204239646E-2</c:v>
                </c:pt>
                <c:pt idx="43">
                  <c:v>1.5053017933617739E-2</c:v>
                </c:pt>
                <c:pt idx="44">
                  <c:v>1.3379102810328541E-2</c:v>
                </c:pt>
                <c:pt idx="45">
                  <c:v>1.1855393029643668E-2</c:v>
                </c:pt>
                <c:pt idx="46">
                  <c:v>1.0476153360626184E-2</c:v>
                </c:pt>
                <c:pt idx="47">
                  <c:v>9.2339298369732634E-3</c:v>
                </c:pt>
                <c:pt idx="48">
                  <c:v>8.1201397463927256E-3</c:v>
                </c:pt>
                <c:pt idx="49">
                  <c:v>7.1255489828620875E-3</c:v>
                </c:pt>
                <c:pt idx="50">
                  <c:v>6.240649247429203E-3</c:v>
                </c:pt>
                <c:pt idx="51">
                  <c:v>5.4559484290868099E-3</c:v>
                </c:pt>
                <c:pt idx="52">
                  <c:v>4.7621873689149162E-3</c:v>
                </c:pt>
                <c:pt idx="53">
                  <c:v>4.1504954516964005E-3</c:v>
                </c:pt>
                <c:pt idx="54">
                  <c:v>3.6124963389608414E-3</c:v>
                </c:pt>
                <c:pt idx="55">
                  <c:v>3.1403738448580057E-3</c:v>
                </c:pt>
                <c:pt idx="56">
                  <c:v>2.7269065936153612E-3</c:v>
                </c:pt>
                <c:pt idx="57">
                  <c:v>2.3654787725944193E-3</c:v>
                </c:pt>
                <c:pt idx="58">
                  <c:v>2.0500730627346924E-3</c:v>
                </c:pt>
                <c:pt idx="59">
                  <c:v>1.7752507186365575E-3</c:v>
                </c:pt>
                <c:pt idx="60">
                  <c:v>1.5361227965869576E-3</c:v>
                </c:pt>
                <c:pt idx="61">
                  <c:v>1.328315691668607E-3</c:v>
                </c:pt>
                <c:pt idx="62">
                  <c:v>1.147933438391989E-3</c:v>
                </c:pt>
                <c:pt idx="63">
                  <c:v>9.9151864229253474E-4</c:v>
                </c:pt>
                <c:pt idx="64">
                  <c:v>8.5601342964341371E-4</c:v>
                </c:pt>
                <c:pt idx="65">
                  <c:v>7.3872141510617688E-4</c:v>
                </c:pt>
                <c:pt idx="66">
                  <c:v>6.372713792886836E-4</c:v>
                </c:pt>
                <c:pt idx="67">
                  <c:v>5.4958310716985781E-4</c:v>
                </c:pt>
                <c:pt idx="68">
                  <c:v>4.7383565274806917E-4</c:v>
                </c:pt>
                <c:pt idx="69">
                  <c:v>4.0843815498004096E-4</c:v>
                </c:pt>
                <c:pt idx="70">
                  <c:v>3.5200322637271201E-4</c:v>
                </c:pt>
                <c:pt idx="71">
                  <c:v>3.0332286105135822E-4</c:v>
                </c:pt>
                <c:pt idx="72">
                  <c:v>2.6134675753758803E-4</c:v>
                </c:pt>
                <c:pt idx="73">
                  <c:v>2.2516291769188941E-4</c:v>
                </c:pt>
                <c:pt idx="74">
                  <c:v>1.9398036310908757E-4</c:v>
                </c:pt>
                <c:pt idx="75">
                  <c:v>1.6711380031180661E-4</c:v>
                </c:pt>
                <c:pt idx="76">
                  <c:v>1.4397006366003256E-4</c:v>
                </c:pt>
                <c:pt idx="77">
                  <c:v>1.2403616784767966E-4</c:v>
                </c:pt>
                <c:pt idx="78">
                  <c:v>1.0686880852264546E-4</c:v>
                </c:pt>
                <c:pt idx="79">
                  <c:v>9.208515866204193E-5</c:v>
                </c:pt>
                <c:pt idx="80">
                  <c:v>7.9354818884694658E-5</c:v>
                </c:pt>
                <c:pt idx="81">
                  <c:v>6.8392791161703593E-5</c:v>
                </c:pt>
                <c:pt idx="82">
                  <c:v>5.895335686148273E-5</c:v>
                </c:pt>
                <c:pt idx="83">
                  <c:v>5.0824751359653504E-5</c:v>
                </c:pt>
                <c:pt idx="84">
                  <c:v>4.3824538296761101E-5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25-C345-B381-49B6A2460F20}"/>
            </c:ext>
          </c:extLst>
        </c:ser>
        <c:ser>
          <c:idx val="2"/>
          <c:order val="2"/>
          <c:tx>
            <c:strRef>
              <c:f>Büro!$D$7</c:f>
              <c:strCache>
                <c:ptCount val="1"/>
                <c:pt idx="0">
                  <c:v>Mischung 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Büro!$A$8:$A$92</c:f>
              <c:numCache>
                <c:formatCode>0.00</c:formatCode>
                <c:ptCount val="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</c:numCache>
            </c:numRef>
          </c:cat>
          <c:val>
            <c:numRef>
              <c:f>Büro!$D$8:$D$92</c:f>
              <c:numCache>
                <c:formatCode>0.00</c:formatCode>
                <c:ptCount val="85"/>
                <c:pt idx="0">
                  <c:v>0</c:v>
                </c:pt>
                <c:pt idx="1">
                  <c:v>3.2644766202984731E-29</c:v>
                </c:pt>
                <c:pt idx="2">
                  <c:v>2.6904269004412614E-19</c:v>
                </c:pt>
                <c:pt idx="3">
                  <c:v>1.4307315248028132E-14</c:v>
                </c:pt>
                <c:pt idx="4">
                  <c:v>1.0651372616126405E-11</c:v>
                </c:pt>
                <c:pt idx="5">
                  <c:v>9.5490601319494414E-10</c:v>
                </c:pt>
                <c:pt idx="6">
                  <c:v>2.4943182481554981E-8</c:v>
                </c:pt>
                <c:pt idx="7">
                  <c:v>2.9502437924101196E-7</c:v>
                </c:pt>
                <c:pt idx="8">
                  <c:v>2.0256607175324585E-6</c:v>
                </c:pt>
                <c:pt idx="9">
                  <c:v>9.4010739319674836E-6</c:v>
                </c:pt>
                <c:pt idx="10">
                  <c:v>3.2565381980255109E-5</c:v>
                </c:pt>
                <c:pt idx="11">
                  <c:v>9.0098673282455182E-5</c:v>
                </c:pt>
                <c:pt idx="12">
                  <c:v>2.0889229400859158E-4</c:v>
                </c:pt>
                <c:pt idx="13">
                  <c:v>4.2035476684572554E-4</c:v>
                </c:pt>
                <c:pt idx="14">
                  <c:v>7.537567561607697E-4</c:v>
                </c:pt>
                <c:pt idx="15">
                  <c:v>1.2289280730826556E-3</c:v>
                </c:pt>
                <c:pt idx="16">
                  <c:v>1.8507222964354094E-3</c:v>
                </c:pt>
                <c:pt idx="17">
                  <c:v>2.6068480227050411E-3</c:v>
                </c:pt>
                <c:pt idx="18">
                  <c:v>3.4694811546970802E-3</c:v>
                </c:pt>
                <c:pt idx="19">
                  <c:v>4.4000944658636205E-3</c:v>
                </c:pt>
                <c:pt idx="20">
                  <c:v>5.356405019318407E-3</c:v>
                </c:pt>
                <c:pt idx="21">
                  <c:v>6.3001818077695103E-3</c:v>
                </c:pt>
                <c:pt idx="22">
                  <c:v>7.2046909490375384E-3</c:v>
                </c:pt>
                <c:pt idx="23">
                  <c:v>8.0606495962999326E-3</c:v>
                </c:pt>
                <c:pt idx="24">
                  <c:v>8.879696889056923E-3</c:v>
                </c:pt>
                <c:pt idx="25">
                  <c:v>9.6946377791508696E-3</c:v>
                </c:pt>
                <c:pt idx="26">
                  <c:v>1.0556134767881907E-2</c:v>
                </c:pt>
                <c:pt idx="27">
                  <c:v>1.1526096731164255E-2</c:v>
                </c:pt>
                <c:pt idx="28">
                  <c:v>1.2668633171258175E-2</c:v>
                </c:pt>
                <c:pt idx="29">
                  <c:v>1.4039945496621062E-2</c:v>
                </c:pt>
                <c:pt idx="30">
                  <c:v>1.5678770656136726E-2</c:v>
                </c:pt>
                <c:pt idx="31">
                  <c:v>1.75989069892106E-2</c:v>
                </c:pt>
                <c:pt idx="32">
                  <c:v>1.9784963240054972E-2</c:v>
                </c:pt>
                <c:pt idx="33">
                  <c:v>2.2191884086068016E-2</c:v>
                </c:pt>
                <c:pt idx="34">
                  <c:v>2.4748162663021607E-2</c:v>
                </c:pt>
                <c:pt idx="35">
                  <c:v>2.7362089566524805E-2</c:v>
                </c:pt>
                <c:pt idx="36">
                  <c:v>2.993000574115191E-2</c:v>
                </c:pt>
                <c:pt idx="37">
                  <c:v>3.2345365351107547E-2</c:v>
                </c:pt>
                <c:pt idx="38">
                  <c:v>3.4507463403191087E-2</c:v>
                </c:pt>
                <c:pt idx="39">
                  <c:v>3.6328892968110857E-2</c:v>
                </c:pt>
                <c:pt idx="40">
                  <c:v>3.7741101307054964E-2</c:v>
                </c:pt>
                <c:pt idx="41">
                  <c:v>3.8697745571038465E-2</c:v>
                </c:pt>
                <c:pt idx="42">
                  <c:v>3.9175851816266864E-2</c:v>
                </c:pt>
                <c:pt idx="43">
                  <c:v>3.9175019443289667E-2</c:v>
                </c:pt>
                <c:pt idx="44">
                  <c:v>3.8715070022901456E-2</c:v>
                </c:pt>
                <c:pt idx="45">
                  <c:v>3.7832614641611632E-2</c:v>
                </c:pt>
                <c:pt idx="46">
                  <c:v>3.6577018863562995E-2</c:v>
                </c:pt>
                <c:pt idx="47">
                  <c:v>3.5006196981888754E-2</c:v>
                </c:pt>
                <c:pt idx="48">
                  <c:v>3.3182586988205739E-2</c:v>
                </c:pt>
                <c:pt idx="49">
                  <c:v>3.1169562616461245E-2</c:v>
                </c:pt>
                <c:pt idx="50">
                  <c:v>2.9028443373472934E-2</c:v>
                </c:pt>
                <c:pt idx="51">
                  <c:v>2.6816177801548057E-2</c:v>
                </c:pt>
                <c:pt idx="52">
                  <c:v>2.4583705270535983E-2</c:v>
                </c:pt>
                <c:pt idx="53">
                  <c:v>2.237494974496463E-2</c:v>
                </c:pt>
                <c:pt idx="54">
                  <c:v>2.0226364918793625E-2</c:v>
                </c:pt>
                <c:pt idx="55">
                  <c:v>1.8166931803431579E-2</c:v>
                </c:pt>
                <c:pt idx="56">
                  <c:v>1.6218504301433161E-2</c:v>
                </c:pt>
                <c:pt idx="57">
                  <c:v>1.4396402205932537E-2</c:v>
                </c:pt>
                <c:pt idx="58">
                  <c:v>1.2710161289755597E-2</c:v>
                </c:pt>
                <c:pt idx="59">
                  <c:v>1.1164363964189671E-2</c:v>
                </c:pt>
                <c:pt idx="60">
                  <c:v>9.7594892211370562E-3</c:v>
                </c:pt>
                <c:pt idx="61">
                  <c:v>8.4927356233381809E-3</c:v>
                </c:pt>
                <c:pt idx="62">
                  <c:v>7.3587849048236077E-3</c:v>
                </c:pt>
                <c:pt idx="63">
                  <c:v>6.3504856648073657E-3</c:v>
                </c:pt>
                <c:pt idx="64">
                  <c:v>5.4594464108797197E-3</c:v>
                </c:pt>
                <c:pt idx="65">
                  <c:v>4.6765348145953551E-3</c:v>
                </c:pt>
                <c:pt idx="66">
                  <c:v>3.9922856369444407E-3</c:v>
                </c:pt>
                <c:pt idx="67">
                  <c:v>3.3972236144560815E-3</c:v>
                </c:pt>
                <c:pt idx="68">
                  <c:v>2.8821099656727665E-3</c:v>
                </c:pt>
                <c:pt idx="69">
                  <c:v>2.4381223857783112E-3</c:v>
                </c:pt>
                <c:pt idx="70">
                  <c:v>2.0569787286639891E-3</c:v>
                </c:pt>
                <c:pt idx="71">
                  <c:v>1.731014281368505E-3</c:v>
                </c:pt>
                <c:pt idx="72">
                  <c:v>1.45322182580451E-3</c:v>
                </c:pt>
                <c:pt idx="73">
                  <c:v>1.2172627254720904E-3</c:v>
                </c:pt>
                <c:pt idx="74">
                  <c:v>1.0174561996877853E-3</c:v>
                </c:pt>
                <c:pt idx="75">
                  <c:v>8.4875284924402334E-4</c:v>
                </c:pt>
                <c:pt idx="76">
                  <c:v>7.0669744064306191E-4</c:v>
                </c:pt>
                <c:pt idx="77">
                  <c:v>5.8738498283137633E-4</c:v>
                </c:pt>
                <c:pt idx="78">
                  <c:v>4.8741326414152047E-4</c:v>
                </c:pt>
                <c:pt idx="79">
                  <c:v>4.03834267826881E-4</c:v>
                </c:pt>
                <c:pt idx="80">
                  <c:v>3.3410625245712788E-4</c:v>
                </c:pt>
                <c:pt idx="81">
                  <c:v>2.7604776246062715E-4</c:v>
                </c:pt>
                <c:pt idx="82">
                  <c:v>2.2779441430767705E-4</c:v>
                </c:pt>
                <c:pt idx="83">
                  <c:v>1.8775897327068226E-4</c:v>
                </c:pt>
                <c:pt idx="84">
                  <c:v>1.5459498176009697E-4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25-C345-B381-49B6A2460F20}"/>
            </c:ext>
          </c:extLst>
        </c:ser>
        <c:ser>
          <c:idx val="3"/>
          <c:order val="3"/>
          <c:tx>
            <c:strRef>
              <c:f>Büro!$E$7</c:f>
              <c:strCache>
                <c:ptCount val="1"/>
                <c:pt idx="0">
                  <c:v>Normiert f_norm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Büro!$A$8:$A$92</c:f>
              <c:numCache>
                <c:formatCode>0.00</c:formatCode>
                <c:ptCount val="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</c:numCache>
            </c:numRef>
          </c:cat>
          <c:val>
            <c:numRef>
              <c:f>Büro!$E$8:$E$92</c:f>
              <c:numCache>
                <c:formatCode>0.00</c:formatCode>
                <c:ptCount val="85"/>
                <c:pt idx="0">
                  <c:v>0</c:v>
                </c:pt>
                <c:pt idx="1">
                  <c:v>3.2663693488709831E-29</c:v>
                </c:pt>
                <c:pt idx="2">
                  <c:v>2.6919867976189746E-19</c:v>
                </c:pt>
                <c:pt idx="3">
                  <c:v>1.4315610563790992E-14</c:v>
                </c:pt>
                <c:pt idx="4">
                  <c:v>1.0657548233118617E-11</c:v>
                </c:pt>
                <c:pt idx="5">
                  <c:v>9.5545966332188875E-10</c:v>
                </c:pt>
                <c:pt idx="6">
                  <c:v>2.4957644424360337E-8</c:v>
                </c:pt>
                <c:pt idx="7">
                  <c:v>2.9519543302301928E-7</c:v>
                </c:pt>
                <c:pt idx="8">
                  <c:v>2.0268351863261528E-6</c:v>
                </c:pt>
                <c:pt idx="9">
                  <c:v>9.4065246315168923E-6</c:v>
                </c:pt>
                <c:pt idx="10">
                  <c:v>3.2584263239371956E-5</c:v>
                </c:pt>
                <c:pt idx="11">
                  <c:v>9.0150912080002883E-5</c:v>
                </c:pt>
                <c:pt idx="12">
                  <c:v>2.0901340880261058E-4</c:v>
                </c:pt>
                <c:pt idx="13">
                  <c:v>4.2059848661166063E-4</c:v>
                </c:pt>
                <c:pt idx="14">
                  <c:v>7.5419378087102096E-4</c:v>
                </c:pt>
                <c:pt idx="15">
                  <c:v>1.2296405999431697E-3</c:v>
                </c:pt>
                <c:pt idx="16">
                  <c:v>1.8517953367348753E-3</c:v>
                </c:pt>
                <c:pt idx="17">
                  <c:v>2.6083594612327627E-3</c:v>
                </c:pt>
                <c:pt idx="18">
                  <c:v>3.4714927439584179E-3</c:v>
                </c:pt>
                <c:pt idx="19">
                  <c:v>4.4026456204546809E-3</c:v>
                </c:pt>
                <c:pt idx="20">
                  <c:v>5.3595106383824125E-3</c:v>
                </c:pt>
                <c:pt idx="21">
                  <c:v>6.3038346242869966E-3</c:v>
                </c:pt>
                <c:pt idx="22">
                  <c:v>7.2088681958067625E-3</c:v>
                </c:pt>
                <c:pt idx="23">
                  <c:v>8.0653231239671379E-3</c:v>
                </c:pt>
                <c:pt idx="24">
                  <c:v>8.8848452965880551E-3</c:v>
                </c:pt>
                <c:pt idx="25">
                  <c:v>9.700258685672496E-3</c:v>
                </c:pt>
                <c:pt idx="26">
                  <c:v>1.0562255166406499E-2</c:v>
                </c:pt>
                <c:pt idx="27">
                  <c:v>1.1532779509186601E-2</c:v>
                </c:pt>
                <c:pt idx="28">
                  <c:v>1.2675978386668446E-2</c:v>
                </c:pt>
                <c:pt idx="29">
                  <c:v>1.40480857926283E-2</c:v>
                </c:pt>
                <c:pt idx="30">
                  <c:v>1.5687861135455273E-2</c:v>
                </c:pt>
                <c:pt idx="31">
                  <c:v>1.76091107547687E-2</c:v>
                </c:pt>
                <c:pt idx="32">
                  <c:v>1.9796434471001354E-2</c:v>
                </c:pt>
                <c:pt idx="33">
                  <c:v>2.2204750838682005E-2</c:v>
                </c:pt>
                <c:pt idx="34">
                  <c:v>2.4762511534230598E-2</c:v>
                </c:pt>
                <c:pt idx="35">
                  <c:v>2.737795398056414E-2</c:v>
                </c:pt>
                <c:pt idx="36">
                  <c:v>2.9947359021212004E-2</c:v>
                </c:pt>
                <c:pt idx="37">
                  <c:v>3.2364119045591881E-2</c:v>
                </c:pt>
                <c:pt idx="38">
                  <c:v>3.4527470672209938E-2</c:v>
                </c:pt>
                <c:pt idx="39">
                  <c:v>3.634995629363779E-2</c:v>
                </c:pt>
                <c:pt idx="40">
                  <c:v>3.7762983424499977E-2</c:v>
                </c:pt>
                <c:pt idx="41">
                  <c:v>3.8720182346440257E-2</c:v>
                </c:pt>
                <c:pt idx="42">
                  <c:v>3.919856579547689E-2</c:v>
                </c:pt>
                <c:pt idx="43">
                  <c:v>3.9197732939893655E-2</c:v>
                </c:pt>
                <c:pt idx="44">
                  <c:v>3.8737516842940981E-2</c:v>
                </c:pt>
                <c:pt idx="45">
                  <c:v>3.7854549818068309E-2</c:v>
                </c:pt>
                <c:pt idx="46">
                  <c:v>3.6598226051346126E-2</c:v>
                </c:pt>
                <c:pt idx="47">
                  <c:v>3.5026493414349186E-2</c:v>
                </c:pt>
                <c:pt idx="48">
                  <c:v>3.3201826099955492E-2</c:v>
                </c:pt>
                <c:pt idx="49">
                  <c:v>3.1187634585912637E-2</c:v>
                </c:pt>
                <c:pt idx="50">
                  <c:v>2.9045273931807104E-2</c:v>
                </c:pt>
                <c:pt idx="51">
                  <c:v>2.6831725698449785E-2</c:v>
                </c:pt>
                <c:pt idx="52">
                  <c:v>2.4597958790103066E-2</c:v>
                </c:pt>
                <c:pt idx="53">
                  <c:v>2.238792263820805E-2</c:v>
                </c:pt>
                <c:pt idx="54">
                  <c:v>2.0238092072408932E-2</c:v>
                </c:pt>
                <c:pt idx="55">
                  <c:v>1.8177464907171821E-2</c:v>
                </c:pt>
                <c:pt idx="56">
                  <c:v>1.622790771584386E-2</c:v>
                </c:pt>
                <c:pt idx="57">
                  <c:v>1.440474917390501E-2</c:v>
                </c:pt>
                <c:pt idx="58">
                  <c:v>1.2717530582978514E-2</c:v>
                </c:pt>
                <c:pt idx="59">
                  <c:v>1.1170837011212747E-2</c:v>
                </c:pt>
                <c:pt idx="60">
                  <c:v>9.7651477282273171E-3</c:v>
                </c:pt>
                <c:pt idx="61">
                  <c:v>8.4976596725021766E-3</c:v>
                </c:pt>
                <c:pt idx="62">
                  <c:v>7.3630514945616718E-3</c:v>
                </c:pt>
                <c:pt idx="63">
                  <c:v>6.3541676472704525E-3</c:v>
                </c:pt>
                <c:pt idx="64">
                  <c:v>5.462611772869972E-3</c:v>
                </c:pt>
                <c:pt idx="65">
                  <c:v>4.679246248032766E-3</c:v>
                </c:pt>
                <c:pt idx="66">
                  <c:v>3.9946003458468365E-3</c:v>
                </c:pt>
                <c:pt idx="67">
                  <c:v>3.399193309126984E-3</c:v>
                </c:pt>
                <c:pt idx="68">
                  <c:v>2.8837809998125811E-3</c:v>
                </c:pt>
                <c:pt idx="69">
                  <c:v>2.4395359979555728E-3</c:v>
                </c:pt>
                <c:pt idx="70">
                  <c:v>2.0581713554969029E-3</c:v>
                </c:pt>
                <c:pt idx="71">
                  <c:v>1.7320179155098545E-3</c:v>
                </c:pt>
                <c:pt idx="72">
                  <c:v>1.4540643971541691E-3</c:v>
                </c:pt>
                <c:pt idx="73">
                  <c:v>1.2179684888175611E-3</c:v>
                </c:pt>
                <c:pt idx="74">
                  <c:v>1.0180461161259831E-3</c:v>
                </c:pt>
                <c:pt idx="75">
                  <c:v>8.4924495225336164E-4</c:v>
                </c:pt>
                <c:pt idx="76">
                  <c:v>7.0710718057800514E-4</c:v>
                </c:pt>
                <c:pt idx="77">
                  <c:v>5.8772554595048565E-4</c:v>
                </c:pt>
                <c:pt idx="78">
                  <c:v>4.8769586411663584E-4</c:v>
                </c:pt>
                <c:pt idx="79">
                  <c:v>4.0406840908325327E-4</c:v>
                </c:pt>
                <c:pt idx="80">
                  <c:v>3.3429996572998386E-4</c:v>
                </c:pt>
                <c:pt idx="81">
                  <c:v>2.7620781368725808E-4</c:v>
                </c:pt>
                <c:pt idx="82">
                  <c:v>2.2792648846435426E-4</c:v>
                </c:pt>
                <c:pt idx="83">
                  <c:v>1.8786783506226159E-4</c:v>
                </c:pt>
                <c:pt idx="84">
                  <c:v>1.5468461522149919E-4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25-C345-B381-49B6A2460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311888"/>
        <c:axId val="680313600"/>
      </c:lineChart>
      <c:catAx>
        <c:axId val="68031188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0313600"/>
        <c:crosses val="autoZero"/>
        <c:auto val="1"/>
        <c:lblAlgn val="ctr"/>
        <c:lblOffset val="100"/>
        <c:noMultiLvlLbl val="0"/>
      </c:catAx>
      <c:valAx>
        <c:axId val="6803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031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Logistikzentrum!$B$7</c:f>
              <c:strCache>
                <c:ptCount val="1"/>
                <c:pt idx="0">
                  <c:v>spontanes Laden 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Logistikzentrum!$A$8:$A$93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Logistikzentrum!$B$8:$B$93</c:f>
              <c:numCache>
                <c:formatCode>0.00</c:formatCode>
                <c:ptCount val="86"/>
                <c:pt idx="0">
                  <c:v>0</c:v>
                </c:pt>
                <c:pt idx="1">
                  <c:v>3.3939523635742045E-19</c:v>
                </c:pt>
                <c:pt idx="2">
                  <c:v>3.2962128252876013E-13</c:v>
                </c:pt>
                <c:pt idx="3">
                  <c:v>2.6050539267358014E-10</c:v>
                </c:pt>
                <c:pt idx="4">
                  <c:v>1.5893211672907388E-8</c:v>
                </c:pt>
                <c:pt idx="5">
                  <c:v>2.7000462992787755E-7</c:v>
                </c:pt>
                <c:pt idx="6">
                  <c:v>2.1684823535138605E-6</c:v>
                </c:pt>
                <c:pt idx="7">
                  <c:v>1.0733652104859564E-5</c:v>
                </c:pt>
                <c:pt idx="8">
                  <c:v>3.8044774170769988E-5</c:v>
                </c:pt>
                <c:pt idx="9">
                  <c:v>1.0589055716119482E-4</c:v>
                </c:pt>
                <c:pt idx="10">
                  <c:v>2.4582379275540022E-4</c:v>
                </c:pt>
                <c:pt idx="11">
                  <c:v>4.960699748314054E-4</c:v>
                </c:pt>
                <c:pt idx="12">
                  <c:v>8.9615263674980414E-4</c:v>
                </c:pt>
                <c:pt idx="13">
                  <c:v>1.4808247201774452E-3</c:v>
                </c:pt>
                <c:pt idx="14">
                  <c:v>2.2748289372079254E-3</c:v>
                </c:pt>
                <c:pt idx="15">
                  <c:v>3.2894683399301004E-3</c:v>
                </c:pt>
                <c:pt idx="16">
                  <c:v>4.5213202924537848E-3</c:v>
                </c:pt>
                <c:pt idx="17">
                  <c:v>5.9529095283778902E-3</c:v>
                </c:pt>
                <c:pt idx="18">
                  <c:v>7.5548540664519635E-3</c:v>
                </c:pt>
                <c:pt idx="19">
                  <c:v>9.2888957711971202E-3</c:v>
                </c:pt>
                <c:pt idx="20">
                  <c:v>1.1111265856092864E-2</c:v>
                </c:pt>
                <c:pt idx="21">
                  <c:v>1.2975950084909709E-2</c:v>
                </c:pt>
                <c:pt idx="22">
                  <c:v>1.4837557732914302E-2</c:v>
                </c:pt>
                <c:pt idx="23">
                  <c:v>1.6653629713355576E-2</c:v>
                </c:pt>
                <c:pt idx="24">
                  <c:v>1.8386327934469194E-2</c:v>
                </c:pt>
                <c:pt idx="25">
                  <c:v>2.0003524676125439E-2</c:v>
                </c:pt>
                <c:pt idx="26">
                  <c:v>2.147935920742558E-2</c:v>
                </c:pt>
                <c:pt idx="27">
                  <c:v>2.2794354005001589E-2</c:v>
                </c:pt>
                <c:pt idx="28">
                  <c:v>2.3935190781299135E-2</c:v>
                </c:pt>
                <c:pt idx="29">
                  <c:v>2.4894242761301241E-2</c:v>
                </c:pt>
                <c:pt idx="30">
                  <c:v>2.5668948958867493E-2</c:v>
                </c:pt>
                <c:pt idx="31">
                  <c:v>2.6261102159641787E-2</c:v>
                </c:pt>
                <c:pt idx="32">
                  <c:v>2.6676107398881675E-2</c:v>
                </c:pt>
                <c:pt idx="33">
                  <c:v>2.6922253514517852E-2</c:v>
                </c:pt>
                <c:pt idx="34">
                  <c:v>2.701002775521983E-2</c:v>
                </c:pt>
                <c:pt idx="35">
                  <c:v>2.6951492835705585E-2</c:v>
                </c:pt>
                <c:pt idx="36">
                  <c:v>2.6759737335136598E-2</c:v>
                </c:pt>
                <c:pt idx="37">
                  <c:v>2.6448403806919797E-2</c:v>
                </c:pt>
                <c:pt idx="38">
                  <c:v>2.6031294179092973E-2</c:v>
                </c:pt>
                <c:pt idx="39">
                  <c:v>2.5522048698106564E-2</c:v>
                </c:pt>
                <c:pt idx="40">
                  <c:v>2.4933892525089554E-2</c:v>
                </c:pt>
                <c:pt idx="41">
                  <c:v>2.4279442871850694E-2</c:v>
                </c:pt>
                <c:pt idx="42">
                  <c:v>2.3570569034897994E-2</c:v>
                </c:pt>
                <c:pt idx="43">
                  <c:v>2.281829765701316E-2</c:v>
                </c:pt>
                <c:pt idx="44">
                  <c:v>2.2032755860983931E-2</c:v>
                </c:pt>
                <c:pt idx="45">
                  <c:v>2.1223145435911611E-2</c:v>
                </c:pt>
                <c:pt idx="46">
                  <c:v>2.0397741919154572E-2</c:v>
                </c:pt>
                <c:pt idx="47">
                  <c:v>1.9563913136982879E-2</c:v>
                </c:pt>
                <c:pt idx="48">
                  <c:v>1.8728152494874688E-2</c:v>
                </c:pt>
                <c:pt idx="49">
                  <c:v>1.7896123010308157E-2</c:v>
                </c:pt>
                <c:pt idx="50">
                  <c:v>1.7072708735284273E-2</c:v>
                </c:pt>
                <c:pt idx="51">
                  <c:v>1.6262070810184066E-2</c:v>
                </c:pt>
                <c:pt idx="52">
                  <c:v>1.5467705919112147E-2</c:v>
                </c:pt>
                <c:pt idx="53">
                  <c:v>1.4692505378525639E-2</c:v>
                </c:pt>
                <c:pt idx="54">
                  <c:v>1.3938813487796298E-2</c:v>
                </c:pt>
                <c:pt idx="55">
                  <c:v>1.3208484106552123E-2</c:v>
                </c:pt>
                <c:pt idx="56">
                  <c:v>1.2502934704513951E-2</c:v>
                </c:pt>
                <c:pt idx="57">
                  <c:v>1.182319736096896E-2</c:v>
                </c:pt>
                <c:pt idx="58">
                  <c:v>1.1169966379012224E-2</c:v>
                </c:pt>
                <c:pt idx="59">
                  <c:v>1.0543642330075022E-2</c:v>
                </c:pt>
                <c:pt idx="60">
                  <c:v>9.9443724625278927E-3</c:v>
                </c:pt>
                <c:pt idx="61">
                  <c:v>9.3720874993077474E-3</c:v>
                </c:pt>
                <c:pt idx="62">
                  <c:v>8.8265349180757981E-3</c:v>
                </c:pt>
                <c:pt idx="63">
                  <c:v>8.307308857328154E-3</c:v>
                </c:pt>
                <c:pt idx="64">
                  <c:v>7.8138768266115127E-3</c:v>
                </c:pt>
                <c:pt idx="65">
                  <c:v>7.3456034215053922E-3</c:v>
                </c:pt>
                <c:pt idx="66">
                  <c:v>6.901771256843066E-3</c:v>
                </c:pt>
                <c:pt idx="67">
                  <c:v>6.4815993368733801E-3</c:v>
                </c:pt>
                <c:pt idx="68">
                  <c:v>6.0842590804845815E-3</c:v>
                </c:pt>
                <c:pt idx="69">
                  <c:v>5.708888214670668E-3</c:v>
                </c:pt>
                <c:pt idx="70">
                  <c:v>5.3546027413132382E-3</c:v>
                </c:pt>
                <c:pt idx="71">
                  <c:v>5.0205071720357611E-3</c:v>
                </c:pt>
                <c:pt idx="72">
                  <c:v>4.7057032141298912E-3</c:v>
                </c:pt>
                <c:pt idx="73">
                  <c:v>4.4092970779622603E-3</c:v>
                </c:pt>
                <c:pt idx="74">
                  <c:v>4.130405563312658E-3</c:v>
                </c:pt>
                <c:pt idx="75">
                  <c:v>3.8681610691334769E-3</c:v>
                </c:pt>
                <c:pt idx="76">
                  <c:v>3.6217156585211436E-3</c:v>
                </c:pt>
                <c:pt idx="77">
                  <c:v>3.3902442984518628E-3</c:v>
                </c:pt>
                <c:pt idx="78">
                  <c:v>3.1729473821877656E-3</c:v>
                </c:pt>
                <c:pt idx="79">
                  <c:v>2.9690526312992098E-3</c:v>
                </c:pt>
                <c:pt idx="80">
                  <c:v>2.7778164640232185E-3</c:v>
                </c:pt>
                <c:pt idx="81">
                  <c:v>2.5985249072119328E-3</c:v>
                </c:pt>
                <c:pt idx="82">
                  <c:v>2.4304941204209246E-3</c:v>
                </c:pt>
                <c:pt idx="83">
                  <c:v>2.2730705927291816E-3</c:v>
                </c:pt>
                <c:pt idx="84">
                  <c:v>2.125631065646959E-3</c:v>
                </c:pt>
                <c:pt idx="85">
                  <c:v>1.9875822289177249E-3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6-0547-8387-DF0D7FB9CDA6}"/>
            </c:ext>
          </c:extLst>
        </c:ser>
        <c:ser>
          <c:idx val="1"/>
          <c:order val="1"/>
          <c:tx>
            <c:strRef>
              <c:f>Logistikzentrum!$C$7</c:f>
              <c:strCache>
                <c:ptCount val="1"/>
                <c:pt idx="0">
                  <c:v>leere Batterie 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Logistikzentrum!$A$8:$A$93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Logistikzentrum!$C$8:$C$93</c:f>
              <c:numCache>
                <c:formatCode>0.00</c:formatCode>
                <c:ptCount val="86"/>
                <c:pt idx="0">
                  <c:v>0</c:v>
                </c:pt>
                <c:pt idx="1">
                  <c:v>1.1283370232016743E-56</c:v>
                </c:pt>
                <c:pt idx="2">
                  <c:v>2.3315088776803368E-35</c:v>
                </c:pt>
                <c:pt idx="3">
                  <c:v>2.6183546613857801E-25</c:v>
                </c:pt>
                <c:pt idx="4">
                  <c:v>2.9267322250086968E-19</c:v>
                </c:pt>
                <c:pt idx="5">
                  <c:v>3.4597901500407184E-15</c:v>
                </c:pt>
                <c:pt idx="6">
                  <c:v>2.9197481694874181E-12</c:v>
                </c:pt>
                <c:pt idx="7">
                  <c:v>4.5490572452249946E-10</c:v>
                </c:pt>
                <c:pt idx="8">
                  <c:v>2.231909529210404E-8</c:v>
                </c:pt>
                <c:pt idx="9">
                  <c:v>4.7789915816070049E-7</c:v>
                </c:pt>
                <c:pt idx="10">
                  <c:v>5.5210387819414925E-6</c:v>
                </c:pt>
                <c:pt idx="11">
                  <c:v>3.9765564668011259E-5</c:v>
                </c:pt>
                <c:pt idx="12">
                  <c:v>1.9779258137680769E-4</c:v>
                </c:pt>
                <c:pt idx="13">
                  <c:v>7.3202361183420564E-4</c:v>
                </c:pt>
                <c:pt idx="14">
                  <c:v>2.1315059221803049E-3</c:v>
                </c:pt>
                <c:pt idx="15">
                  <c:v>5.0958130573853806E-3</c:v>
                </c:pt>
                <c:pt idx="16">
                  <c:v>1.0339936328912488E-2</c:v>
                </c:pt>
                <c:pt idx="17">
                  <c:v>1.8280719959248477E-2</c:v>
                </c:pt>
                <c:pt idx="18">
                  <c:v>2.8758873845100171E-2</c:v>
                </c:pt>
                <c:pt idx="19">
                  <c:v>4.0950781753686667E-2</c:v>
                </c:pt>
                <c:pt idx="20">
                  <c:v>5.3522885484074308E-2</c:v>
                </c:pt>
                <c:pt idx="21">
                  <c:v>6.495816357583814E-2</c:v>
                </c:pt>
                <c:pt idx="22">
                  <c:v>7.3917164603302263E-2</c:v>
                </c:pt>
                <c:pt idx="23">
                  <c:v>7.9507732685668492E-2</c:v>
                </c:pt>
                <c:pt idx="24">
                  <c:v>8.1399602312926131E-2</c:v>
                </c:pt>
                <c:pt idx="25">
                  <c:v>7.9788456080286521E-2</c:v>
                </c:pt>
                <c:pt idx="26">
                  <c:v>7.5258572389414108E-2</c:v>
                </c:pt>
                <c:pt idx="27">
                  <c:v>6.8606018838098609E-2</c:v>
                </c:pt>
                <c:pt idx="28">
                  <c:v>6.067354442457517E-2</c:v>
                </c:pt>
                <c:pt idx="29">
                  <c:v>5.2227156769449064E-2</c:v>
                </c:pt>
                <c:pt idx="30">
                  <c:v>4.3883697714753284E-2</c:v>
                </c:pt>
                <c:pt idx="31">
                  <c:v>3.6084237412687931E-2</c:v>
                </c:pt>
                <c:pt idx="32">
                  <c:v>2.9100927003410087E-2</c:v>
                </c:pt>
                <c:pt idx="33">
                  <c:v>2.3063581895602526E-2</c:v>
                </c:pt>
                <c:pt idx="34">
                  <c:v>1.7994364514660355E-2</c:v>
                </c:pt>
                <c:pt idx="35">
                  <c:v>1.3842409356784944E-2</c:v>
                </c:pt>
                <c:pt idx="36">
                  <c:v>1.0513689986344542E-2</c:v>
                </c:pt>
                <c:pt idx="37">
                  <c:v>7.8941680333096832E-3</c:v>
                </c:pt>
                <c:pt idx="38">
                  <c:v>5.8660951558957381E-3</c:v>
                </c:pt>
                <c:pt idx="39">
                  <c:v>4.318354887695346E-3</c:v>
                </c:pt>
                <c:pt idx="40">
                  <c:v>3.1521430671682363E-3</c:v>
                </c:pt>
                <c:pt idx="41">
                  <c:v>2.2833141118955365E-3</c:v>
                </c:pt>
                <c:pt idx="42">
                  <c:v>1.6425461014751867E-3</c:v>
                </c:pt>
                <c:pt idx="43">
                  <c:v>1.174225859256489E-3</c:v>
                </c:pt>
                <c:pt idx="44">
                  <c:v>8.3470136943928123E-4</c:v>
                </c:pt>
                <c:pt idx="45">
                  <c:v>5.9033070951364848E-4</c:v>
                </c:pt>
                <c:pt idx="46">
                  <c:v>4.1558737729864787E-4</c:v>
                </c:pt>
                <c:pt idx="47">
                  <c:v>2.9136058753994601E-4</c:v>
                </c:pt>
                <c:pt idx="48">
                  <c:v>2.0350835733290581E-4</c:v>
                </c:pt>
                <c:pt idx="49">
                  <c:v>1.4167154829832008E-4</c:v>
                </c:pt>
                <c:pt idx="50">
                  <c:v>9.8329517102159621E-5</c:v>
                </c:pt>
                <c:pt idx="51">
                  <c:v>6.8065225770541036E-5</c:v>
                </c:pt>
                <c:pt idx="52">
                  <c:v>4.7003970263691457E-5</c:v>
                </c:pt>
                <c:pt idx="53">
                  <c:v>3.2391346198329649E-5</c:v>
                </c:pt>
                <c:pt idx="54">
                  <c:v>2.2280068210808512E-5</c:v>
                </c:pt>
                <c:pt idx="55">
                  <c:v>1.5300173038706525E-5</c:v>
                </c:pt>
                <c:pt idx="56">
                  <c:v>1.0492038365441135E-5</c:v>
                </c:pt>
                <c:pt idx="57">
                  <c:v>7.1860680575492333E-6</c:v>
                </c:pt>
                <c:pt idx="58">
                  <c:v>4.9166397843739786E-6</c:v>
                </c:pt>
                <c:pt idx="59">
                  <c:v>3.3609554483693507E-6</c:v>
                </c:pt>
                <c:pt idx="60">
                  <c:v>2.2958347409327865E-6</c:v>
                </c:pt>
                <c:pt idx="61">
                  <c:v>1.5673398142992195E-6</c:v>
                </c:pt>
                <c:pt idx="62">
                  <c:v>1.0695151345222209E-6</c:v>
                </c:pt>
                <c:pt idx="63">
                  <c:v>7.2956540899580566E-7</c:v>
                </c:pt>
                <c:pt idx="64">
                  <c:v>4.9755771384953691E-7</c:v>
                </c:pt>
                <c:pt idx="65">
                  <c:v>3.3928872007749508E-7</c:v>
                </c:pt>
                <c:pt idx="66">
                  <c:v>2.313575036836796E-7</c:v>
                </c:pt>
                <c:pt idx="67">
                  <c:v>1.5776998674357633E-7</c:v>
                </c:pt>
                <c:pt idx="68">
                  <c:v>1.0760375150338816E-7</c:v>
                </c:pt>
                <c:pt idx="69">
                  <c:v>7.3404999640173391E-8</c:v>
                </c:pt>
                <c:pt idx="70">
                  <c:v>5.0089838900855878E-8</c:v>
                </c:pt>
                <c:pt idx="71">
                  <c:v>3.419225298395536E-8</c:v>
                </c:pt>
                <c:pt idx="72">
                  <c:v>2.3349959911057316E-8</c:v>
                </c:pt>
                <c:pt idx="73">
                  <c:v>1.5953251935066932E-8</c:v>
                </c:pt>
                <c:pt idx="74">
                  <c:v>1.0905347568865851E-8</c:v>
                </c:pt>
                <c:pt idx="75">
                  <c:v>7.4589532733097428E-9</c:v>
                </c:pt>
                <c:pt idx="76">
                  <c:v>5.1048582967419179E-9</c:v>
                </c:pt>
                <c:pt idx="77">
                  <c:v>3.4960274764124903E-9</c:v>
                </c:pt>
                <c:pt idx="78">
                  <c:v>2.3958956775789116E-9</c:v>
                </c:pt>
                <c:pt idx="79">
                  <c:v>1.6431538593550184E-9</c:v>
                </c:pt>
                <c:pt idx="80">
                  <c:v>1.1277686134423209E-9</c:v>
                </c:pt>
                <c:pt idx="81">
                  <c:v>7.7465143636156016E-10</c:v>
                </c:pt>
                <c:pt idx="82">
                  <c:v>5.3253642354836472E-10</c:v>
                </c:pt>
                <c:pt idx="83">
                  <c:v>3.6640393926321815E-10</c:v>
                </c:pt>
                <c:pt idx="84">
                  <c:v>2.5231849065229386E-10</c:v>
                </c:pt>
                <c:pt idx="85">
                  <c:v>1.7391043071024736E-10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6-0547-8387-DF0D7FB9CDA6}"/>
            </c:ext>
          </c:extLst>
        </c:ser>
        <c:ser>
          <c:idx val="2"/>
          <c:order val="2"/>
          <c:tx>
            <c:strRef>
              <c:f>Logistikzentrum!$D$7</c:f>
              <c:strCache>
                <c:ptCount val="1"/>
                <c:pt idx="0">
                  <c:v>Mischung 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Logistikzentrum!$A$8:$A$93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Logistikzentrum!$D$8:$D$93</c:f>
              <c:numCache>
                <c:formatCode>0.00</c:formatCode>
                <c:ptCount val="86"/>
                <c:pt idx="0">
                  <c:v>0</c:v>
                </c:pt>
                <c:pt idx="1">
                  <c:v>1.0181857090722613E-19</c:v>
                </c:pt>
                <c:pt idx="2">
                  <c:v>9.8886384758628035E-14</c:v>
                </c:pt>
                <c:pt idx="3">
                  <c:v>7.8151617802074226E-11</c:v>
                </c:pt>
                <c:pt idx="4">
                  <c:v>4.7679635020770878E-9</c:v>
                </c:pt>
                <c:pt idx="5">
                  <c:v>8.1001391400216371E-8</c:v>
                </c:pt>
                <c:pt idx="6">
                  <c:v>6.5054674987787683E-7</c:v>
                </c:pt>
                <c:pt idx="7">
                  <c:v>3.2204140654650349E-6</c:v>
                </c:pt>
                <c:pt idx="8">
                  <c:v>1.1429055617935469E-5</c:v>
                </c:pt>
                <c:pt idx="9">
                  <c:v>3.2101696559070931E-5</c:v>
                </c:pt>
                <c:pt idx="10">
                  <c:v>7.7611864973979106E-5</c:v>
                </c:pt>
                <c:pt idx="11">
                  <c:v>1.7665688771702949E-4</c:v>
                </c:pt>
                <c:pt idx="12">
                  <c:v>4.073005979887066E-4</c:v>
                </c:pt>
                <c:pt idx="13">
                  <c:v>9.5666394433717742E-4</c:v>
                </c:pt>
                <c:pt idx="14">
                  <c:v>2.1745028266885909E-3</c:v>
                </c:pt>
                <c:pt idx="15">
                  <c:v>4.553909642148796E-3</c:v>
                </c:pt>
                <c:pt idx="16">
                  <c:v>8.5943515179748766E-3</c:v>
                </c:pt>
                <c:pt idx="17">
                  <c:v>1.45823768299873E-2</c:v>
                </c:pt>
                <c:pt idx="18">
                  <c:v>2.2397667911505707E-2</c:v>
                </c:pt>
                <c:pt idx="19">
                  <c:v>3.1452215958939801E-2</c:v>
                </c:pt>
                <c:pt idx="20">
                  <c:v>4.0799399595679874E-2</c:v>
                </c:pt>
                <c:pt idx="21">
                  <c:v>4.9363499528559604E-2</c:v>
                </c:pt>
                <c:pt idx="22">
                  <c:v>5.619328254218587E-2</c:v>
                </c:pt>
                <c:pt idx="23">
                  <c:v>6.0651501793974612E-2</c:v>
                </c:pt>
                <c:pt idx="24">
                  <c:v>6.2495619999389046E-2</c:v>
                </c:pt>
                <c:pt idx="25">
                  <c:v>6.1852976659038189E-2</c:v>
                </c:pt>
                <c:pt idx="26">
                  <c:v>5.9124808434817544E-2</c:v>
                </c:pt>
                <c:pt idx="27">
                  <c:v>5.4862519388169502E-2</c:v>
                </c:pt>
                <c:pt idx="28">
                  <c:v>4.965203833159236E-2</c:v>
                </c:pt>
                <c:pt idx="29">
                  <c:v>4.4027282567004708E-2</c:v>
                </c:pt>
                <c:pt idx="30">
                  <c:v>3.8419273087987545E-2</c:v>
                </c:pt>
                <c:pt idx="31">
                  <c:v>3.3137296836774084E-2</c:v>
                </c:pt>
                <c:pt idx="32">
                  <c:v>2.8373481122051562E-2</c:v>
                </c:pt>
                <c:pt idx="33">
                  <c:v>2.4221183381277121E-2</c:v>
                </c:pt>
                <c:pt idx="34">
                  <c:v>2.0699063486828196E-2</c:v>
                </c:pt>
                <c:pt idx="35">
                  <c:v>1.7775134400461134E-2</c:v>
                </c:pt>
                <c:pt idx="36">
                  <c:v>1.5387504190982157E-2</c:v>
                </c:pt>
                <c:pt idx="37">
                  <c:v>1.3460438765392716E-2</c:v>
                </c:pt>
                <c:pt idx="38">
                  <c:v>1.1915654862854907E-2</c:v>
                </c:pt>
                <c:pt idx="39">
                  <c:v>1.0679463030818712E-2</c:v>
                </c:pt>
                <c:pt idx="40">
                  <c:v>9.6866679045446314E-3</c:v>
                </c:pt>
                <c:pt idx="41">
                  <c:v>8.8821527398820835E-3</c:v>
                </c:pt>
                <c:pt idx="42">
                  <c:v>8.2209529815020291E-3</c:v>
                </c:pt>
                <c:pt idx="43">
                  <c:v>7.66744739858349E-3</c:v>
                </c:pt>
                <c:pt idx="44">
                  <c:v>7.194117716902676E-3</c:v>
                </c:pt>
                <c:pt idx="45">
                  <c:v>6.7801751274330366E-3</c:v>
                </c:pt>
                <c:pt idx="46">
                  <c:v>6.4102337398554247E-3</c:v>
                </c:pt>
                <c:pt idx="47">
                  <c:v>6.0731263523728261E-3</c:v>
                </c:pt>
                <c:pt idx="48">
                  <c:v>5.7609015985954403E-3</c:v>
                </c:pt>
                <c:pt idx="49">
                  <c:v>5.4680069869012717E-3</c:v>
                </c:pt>
                <c:pt idx="50">
                  <c:v>5.1906432825567939E-3</c:v>
                </c:pt>
                <c:pt idx="51">
                  <c:v>4.9262669010945986E-3</c:v>
                </c:pt>
                <c:pt idx="52">
                  <c:v>4.6732145549182279E-3</c:v>
                </c:pt>
                <c:pt idx="53">
                  <c:v>4.4304255558965224E-3</c:v>
                </c:pt>
                <c:pt idx="54">
                  <c:v>4.1972400940864553E-3</c:v>
                </c:pt>
                <c:pt idx="55">
                  <c:v>3.9732553530927306E-3</c:v>
                </c:pt>
                <c:pt idx="56">
                  <c:v>3.7582248382099937E-3</c:v>
                </c:pt>
                <c:pt idx="57">
                  <c:v>3.5519894559309724E-3</c:v>
                </c:pt>
                <c:pt idx="58">
                  <c:v>3.354431561552729E-3</c:v>
                </c:pt>
                <c:pt idx="59">
                  <c:v>3.1654453678363649E-3</c:v>
                </c:pt>
                <c:pt idx="60">
                  <c:v>2.9849188230770206E-3</c:v>
                </c:pt>
                <c:pt idx="61">
                  <c:v>2.8127233876623337E-3</c:v>
                </c:pt>
                <c:pt idx="62">
                  <c:v>2.6487091360169047E-3</c:v>
                </c:pt>
                <c:pt idx="63">
                  <c:v>2.4927033529847432E-3</c:v>
                </c:pt>
                <c:pt idx="64">
                  <c:v>2.3445113383831484E-3</c:v>
                </c:pt>
                <c:pt idx="65">
                  <c:v>2.2039185285556719E-3</c:v>
                </c:pt>
                <c:pt idx="66">
                  <c:v>2.0706933273054984E-3</c:v>
                </c:pt>
                <c:pt idx="67">
                  <c:v>1.9445902400527344E-3</c:v>
                </c:pt>
                <c:pt idx="68">
                  <c:v>1.8253530467714268E-3</c:v>
                </c:pt>
                <c:pt idx="69">
                  <c:v>1.7127178479009483E-3</c:v>
                </c:pt>
                <c:pt idx="70">
                  <c:v>1.606415885281202E-3</c:v>
                </c:pt>
                <c:pt idx="71">
                  <c:v>1.506176086187817E-3</c:v>
                </c:pt>
                <c:pt idx="72">
                  <c:v>1.4117273092109051E-3</c:v>
                </c:pt>
                <c:pt idx="73">
                  <c:v>1.3228002906650325E-3</c:v>
                </c:pt>
                <c:pt idx="74">
                  <c:v>1.2391293027370956E-3</c:v>
                </c:pt>
                <c:pt idx="75">
                  <c:v>1.1604535420073343E-3</c:v>
                </c:pt>
                <c:pt idx="76">
                  <c:v>1.0865182709571507E-3</c:v>
                </c:pt>
                <c:pt idx="77">
                  <c:v>1.0170757367547923E-3</c:v>
                </c:pt>
                <c:pt idx="78">
                  <c:v>9.5188589178330397E-4</c:v>
                </c:pt>
                <c:pt idx="79">
                  <c:v>8.9071693959746445E-4</c:v>
                </c:pt>
                <c:pt idx="80">
                  <c:v>8.3334572864499491E-4</c:v>
                </c:pt>
                <c:pt idx="81">
                  <c:v>7.7955801441958528E-4</c:v>
                </c:pt>
                <c:pt idx="82">
                  <c:v>7.2914860890177383E-4</c:v>
                </c:pt>
                <c:pt idx="83">
                  <c:v>6.819214343015119E-4</c:v>
                </c:pt>
                <c:pt idx="84">
                  <c:v>6.3768949631703119E-4</c:v>
                </c:pt>
                <c:pt idx="85">
                  <c:v>5.9627479041261886E-4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46-0547-8387-DF0D7FB9CDA6}"/>
            </c:ext>
          </c:extLst>
        </c:ser>
        <c:ser>
          <c:idx val="3"/>
          <c:order val="3"/>
          <c:tx>
            <c:strRef>
              <c:f>Logistikzentrum!$E$7</c:f>
              <c:strCache>
                <c:ptCount val="1"/>
                <c:pt idx="0">
                  <c:v>Normiert f_norm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Logistikzentrum!$A$8:$A$93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Logistikzentrum!$E$8:$E$93</c:f>
              <c:numCache>
                <c:formatCode>0.00</c:formatCode>
                <c:ptCount val="86"/>
                <c:pt idx="0">
                  <c:v>0</c:v>
                </c:pt>
                <c:pt idx="1">
                  <c:v>1.027050424266429E-19</c:v>
                </c:pt>
                <c:pt idx="2">
                  <c:v>9.974732754112382E-14</c:v>
                </c:pt>
                <c:pt idx="3">
                  <c:v>7.8832035752950878E-11</c:v>
                </c:pt>
                <c:pt idx="4">
                  <c:v>4.8094752205440574E-9</c:v>
                </c:pt>
                <c:pt idx="5">
                  <c:v>8.1706620572749626E-8</c:v>
                </c:pt>
                <c:pt idx="6">
                  <c:v>6.5621065932658973E-7</c:v>
                </c:pt>
                <c:pt idx="7">
                  <c:v>3.2484522251477625E-6</c:v>
                </c:pt>
                <c:pt idx="8">
                  <c:v>1.1528561358478238E-5</c:v>
                </c:pt>
                <c:pt idx="9">
                  <c:v>3.2381186238321145E-5</c:v>
                </c:pt>
                <c:pt idx="10">
                  <c:v>7.8287583629772675E-5</c:v>
                </c:pt>
                <c:pt idx="11">
                  <c:v>1.7819493031843905E-4</c:v>
                </c:pt>
                <c:pt idx="12">
                  <c:v>4.1084671316928001E-4</c:v>
                </c:pt>
                <c:pt idx="13">
                  <c:v>9.6499302745778554E-4</c:v>
                </c:pt>
                <c:pt idx="14">
                  <c:v>2.1934348820845276E-3</c:v>
                </c:pt>
                <c:pt idx="15">
                  <c:v>4.5935577256348689E-3</c:v>
                </c:pt>
                <c:pt idx="16">
                  <c:v>8.6691772376904178E-3</c:v>
                </c:pt>
                <c:pt idx="17">
                  <c:v>1.4709336594105039E-2</c:v>
                </c:pt>
                <c:pt idx="18">
                  <c:v>2.2592670596457903E-2</c:v>
                </c:pt>
                <c:pt idx="19">
                  <c:v>3.1726051011049798E-2</c:v>
                </c:pt>
                <c:pt idx="20">
                  <c:v>4.1154614812595747E-2</c:v>
                </c:pt>
                <c:pt idx="21">
                  <c:v>4.9793277083291572E-2</c:v>
                </c:pt>
                <c:pt idx="22">
                  <c:v>5.6682522806632087E-2</c:v>
                </c:pt>
                <c:pt idx="23">
                  <c:v>6.1179557024677103E-2</c:v>
                </c:pt>
                <c:pt idx="24">
                  <c:v>6.3039730830292684E-2</c:v>
                </c:pt>
                <c:pt idx="25">
                  <c:v>6.2391492390606922E-2</c:v>
                </c:pt>
                <c:pt idx="26">
                  <c:v>5.9639571687743129E-2</c:v>
                </c:pt>
                <c:pt idx="27">
                  <c:v>5.5340173518331828E-2</c:v>
                </c:pt>
                <c:pt idx="28">
                  <c:v>5.0084328015780243E-2</c:v>
                </c:pt>
                <c:pt idx="29">
                  <c:v>4.4410600970761584E-2</c:v>
                </c:pt>
                <c:pt idx="30">
                  <c:v>3.8753766010896751E-2</c:v>
                </c:pt>
                <c:pt idx="31">
                  <c:v>3.3425802849130368E-2</c:v>
                </c:pt>
                <c:pt idx="32">
                  <c:v>2.8620511528168007E-2</c:v>
                </c:pt>
                <c:pt idx="33">
                  <c:v>2.4432062291114078E-2</c:v>
                </c:pt>
                <c:pt idx="34">
                  <c:v>2.0879277470349844E-2</c:v>
                </c:pt>
                <c:pt idx="35">
                  <c:v>1.7929891536211658E-2</c:v>
                </c:pt>
                <c:pt idx="36">
                  <c:v>1.5521473702621058E-2</c:v>
                </c:pt>
                <c:pt idx="37">
                  <c:v>1.3577630506526526E-2</c:v>
                </c:pt>
                <c:pt idx="38">
                  <c:v>1.2019397123004535E-2</c:v>
                </c:pt>
                <c:pt idx="39">
                  <c:v>1.077244253087584E-2</c:v>
                </c:pt>
                <c:pt idx="40">
                  <c:v>9.7710037495571441E-3</c:v>
                </c:pt>
                <c:pt idx="41">
                  <c:v>8.9594841673894428E-3</c:v>
                </c:pt>
                <c:pt idx="42">
                  <c:v>8.2925277503838879E-3</c:v>
                </c:pt>
                <c:pt idx="43">
                  <c:v>7.7342031356254452E-3</c:v>
                </c:pt>
                <c:pt idx="44">
                  <c:v>7.2567524642433816E-3</c:v>
                </c:pt>
                <c:pt idx="45">
                  <c:v>6.8392059318685442E-3</c:v>
                </c:pt>
                <c:pt idx="46">
                  <c:v>6.4660436927211351E-3</c:v>
                </c:pt>
                <c:pt idx="47">
                  <c:v>6.1260013190633658E-3</c:v>
                </c:pt>
                <c:pt idx="48">
                  <c:v>5.8110582168607924E-3</c:v>
                </c:pt>
                <c:pt idx="49">
                  <c:v>5.5156135523703204E-3</c:v>
                </c:pt>
                <c:pt idx="50">
                  <c:v>5.2358350132640655E-3</c:v>
                </c:pt>
                <c:pt idx="51">
                  <c:v>4.9691568696529371E-3</c:v>
                </c:pt>
                <c:pt idx="52">
                  <c:v>4.7139013527208963E-3</c:v>
                </c:pt>
                <c:pt idx="53">
                  <c:v>4.4689985395792052E-3</c:v>
                </c:pt>
                <c:pt idx="54">
                  <c:v>4.2337828757264767E-3</c:v>
                </c:pt>
                <c:pt idx="55">
                  <c:v>4.0078480376934235E-3</c:v>
                </c:pt>
                <c:pt idx="56">
                  <c:v>3.7909453846972693E-3</c:v>
                </c:pt>
                <c:pt idx="57">
                  <c:v>3.582914438101666E-3</c:v>
                </c:pt>
                <c:pt idx="58">
                  <c:v>3.3836365289437826E-3</c:v>
                </c:pt>
                <c:pt idx="59">
                  <c:v>3.1930049489604555E-3</c:v>
                </c:pt>
                <c:pt idx="60">
                  <c:v>3.0109066708817181E-3</c:v>
                </c:pt>
                <c:pt idx="61">
                  <c:v>2.8372120359800557E-3</c:v>
                </c:pt>
                <c:pt idx="62">
                  <c:v>2.6717698133705225E-3</c:v>
                </c:pt>
                <c:pt idx="63">
                  <c:v>2.514405784172754E-3</c:v>
                </c:pt>
                <c:pt idx="64">
                  <c:v>2.3649235530696037E-3</c:v>
                </c:pt>
                <c:pt idx="65">
                  <c:v>2.223106688331158E-3</c:v>
                </c:pt>
                <c:pt idx="66">
                  <c:v>2.0887215773953099E-3</c:v>
                </c:pt>
                <c:pt idx="67">
                  <c:v>1.961520588312221E-3</c:v>
                </c:pt>
                <c:pt idx="68">
                  <c:v>1.8412452703061479E-3</c:v>
                </c:pt>
                <c:pt idx="69">
                  <c:v>1.7276294262056997E-3</c:v>
                </c:pt>
                <c:pt idx="70">
                  <c:v>1.6204019579391851E-3</c:v>
                </c:pt>
                <c:pt idx="71">
                  <c:v>1.5192894327191555E-3</c:v>
                </c:pt>
                <c:pt idx="72">
                  <c:v>1.4240183484746424E-3</c:v>
                </c:pt>
                <c:pt idx="73">
                  <c:v>1.3343170972073205E-3</c:v>
                </c:pt>
                <c:pt idx="74">
                  <c:v>1.2499176375758557E-3</c:v>
                </c:pt>
                <c:pt idx="75">
                  <c:v>1.170556895505913E-3</c:v>
                </c:pt>
                <c:pt idx="76">
                  <c:v>1.095977915636382E-3</c:v>
                </c:pt>
                <c:pt idx="77">
                  <c:v>1.0259307881043587E-3</c:v>
                </c:pt>
                <c:pt idx="78">
                  <c:v>9.6017337534629163E-4</c:v>
                </c:pt>
                <c:pt idx="79">
                  <c:v>8.9847186280822794E-4</c:v>
                </c:pt>
                <c:pt idx="80">
                  <c:v>8.4060115609490985E-4</c:v>
                </c:pt>
                <c:pt idx="81">
                  <c:v>7.8634514540520592E-4</c:v>
                </c:pt>
                <c:pt idx="82">
                  <c:v>7.3549685627408016E-4</c:v>
                </c:pt>
                <c:pt idx="83">
                  <c:v>6.8785850378305993E-4</c:v>
                </c:pt>
                <c:pt idx="84">
                  <c:v>6.4324146558628515E-4</c:v>
                </c:pt>
                <c:pt idx="85">
                  <c:v>6.0146618737230131E-4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46-0547-8387-DF0D7FB9C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502368"/>
        <c:axId val="680504080"/>
      </c:lineChart>
      <c:catAx>
        <c:axId val="68050236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0504080"/>
        <c:crosses val="autoZero"/>
        <c:auto val="1"/>
        <c:lblAlgn val="ctr"/>
        <c:lblOffset val="100"/>
        <c:noMultiLvlLbl val="0"/>
      </c:catAx>
      <c:valAx>
        <c:axId val="68050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050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Autobahn!$B$7</c:f>
              <c:strCache>
                <c:ptCount val="1"/>
                <c:pt idx="0">
                  <c:v>spontanes Laden 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Autobahn!$A$8:$A$93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Autobahn!$B$8:$B$93</c:f>
              <c:numCache>
                <c:formatCode>0.00</c:formatCode>
                <c:ptCount val="86"/>
                <c:pt idx="0">
                  <c:v>0</c:v>
                </c:pt>
                <c:pt idx="1">
                  <c:v>1.9567359346709171E-33</c:v>
                </c:pt>
                <c:pt idx="2">
                  <c:v>1.4783335868484311E-22</c:v>
                </c:pt>
                <c:pt idx="3">
                  <c:v>2.8732894312942356E-17</c:v>
                </c:pt>
                <c:pt idx="4">
                  <c:v>5.3652432180105592E-14</c:v>
                </c:pt>
                <c:pt idx="5">
                  <c:v>9.8155393586603096E-12</c:v>
                </c:pt>
                <c:pt idx="6">
                  <c:v>4.5920402070531193E-10</c:v>
                </c:pt>
                <c:pt idx="7">
                  <c:v>8.8900654568684304E-9</c:v>
                </c:pt>
                <c:pt idx="8">
                  <c:v>9.3536934305831276E-8</c:v>
                </c:pt>
                <c:pt idx="9">
                  <c:v>6.3255933271855568E-7</c:v>
                </c:pt>
                <c:pt idx="10">
                  <c:v>3.0686143056496407E-6</c:v>
                </c:pt>
                <c:pt idx="11">
                  <c:v>1.1513699373321882E-5</c:v>
                </c:pt>
                <c:pt idx="12">
                  <c:v>3.5254027239111687E-5</c:v>
                </c:pt>
                <c:pt idx="13">
                  <c:v>9.1625801159278653E-5</c:v>
                </c:pt>
                <c:pt idx="14">
                  <c:v>2.0821319648719078E-4</c:v>
                </c:pt>
                <c:pt idx="15">
                  <c:v>4.2322570071836826E-4</c:v>
                </c:pt>
                <c:pt idx="16">
                  <c:v>7.8334593896158846E-4</c:v>
                </c:pt>
                <c:pt idx="17">
                  <c:v>1.3390972534617995E-3</c:v>
                </c:pt>
                <c:pt idx="18">
                  <c:v>2.1385216811141924E-3</c:v>
                </c:pt>
                <c:pt idx="19">
                  <c:v>3.2204085599908594E-3</c:v>
                </c:pt>
                <c:pt idx="20">
                  <c:v>4.608368389760858E-3</c:v>
                </c:pt>
                <c:pt idx="21">
                  <c:v>6.3067649871295772E-3</c:v>
                </c:pt>
                <c:pt idx="22">
                  <c:v>8.299050408772591E-3</c:v>
                </c:pt>
                <c:pt idx="23">
                  <c:v>1.0548551439367561E-2</c:v>
                </c:pt>
                <c:pt idx="24">
                  <c:v>1.3001352598810812E-2</c:v>
                </c:pt>
                <c:pt idx="25">
                  <c:v>1.5590668313074041E-2</c:v>
                </c:pt>
                <c:pt idx="26">
                  <c:v>1.8242002876276451E-2</c:v>
                </c:pt>
                <c:pt idx="27">
                  <c:v>2.0878432867183872E-2</c:v>
                </c:pt>
                <c:pt idx="28">
                  <c:v>2.3425468828863576E-2</c:v>
                </c:pt>
                <c:pt idx="29">
                  <c:v>2.5815116600079048E-2</c:v>
                </c:pt>
                <c:pt idx="30">
                  <c:v>2.7988927206520409E-2</c:v>
                </c:pt>
                <c:pt idx="31">
                  <c:v>2.9899972893845859E-2</c:v>
                </c:pt>
                <c:pt idx="32">
                  <c:v>3.1513802433115315E-2</c:v>
                </c:pt>
                <c:pt idx="33">
                  <c:v>3.2808507255285342E-2</c:v>
                </c:pt>
                <c:pt idx="34">
                  <c:v>3.377407364894254E-2</c:v>
                </c:pt>
                <c:pt idx="35">
                  <c:v>3.4411211170842525E-2</c:v>
                </c:pt>
                <c:pt idx="36">
                  <c:v>3.4729840979556982E-2</c:v>
                </c:pt>
                <c:pt idx="37">
                  <c:v>3.4747407328251205E-2</c:v>
                </c:pt>
                <c:pt idx="38">
                  <c:v>3.4487147290653879E-2</c:v>
                </c:pt>
                <c:pt idx="39">
                  <c:v>3.3976422923077218E-2</c:v>
                </c:pt>
                <c:pt idx="40">
                  <c:v>3.3245190033452714E-2</c:v>
                </c:pt>
                <c:pt idx="41">
                  <c:v>3.2324650794349617E-2</c:v>
                </c:pt>
                <c:pt idx="42">
                  <c:v>3.1246114806655758E-2</c:v>
                </c:pt>
                <c:pt idx="43">
                  <c:v>3.004007531057264E-2</c:v>
                </c:pt>
                <c:pt idx="44">
                  <c:v>2.8735493924771448E-2</c:v>
                </c:pt>
                <c:pt idx="45">
                  <c:v>2.7359278112235881E-2</c:v>
                </c:pt>
                <c:pt idx="46">
                  <c:v>2.5935929888646014E-2</c:v>
                </c:pt>
                <c:pt idx="47">
                  <c:v>2.4487341415790155E-2</c:v>
                </c:pt>
                <c:pt idx="48">
                  <c:v>2.3032712389195863E-2</c:v>
                </c:pt>
                <c:pt idx="49">
                  <c:v>2.1588564934224116E-2</c:v>
                </c:pt>
                <c:pt idx="50">
                  <c:v>2.0168833557193806E-2</c:v>
                </c:pt>
                <c:pt idx="51">
                  <c:v>1.8785010144129657E-2</c:v>
                </c:pt>
                <c:pt idx="52">
                  <c:v>1.7446326739734296E-2</c:v>
                </c:pt>
                <c:pt idx="53">
                  <c:v>1.6159961637592667E-2</c:v>
                </c:pt>
                <c:pt idx="54">
                  <c:v>1.4931257005304673E-2</c:v>
                </c:pt>
                <c:pt idx="55">
                  <c:v>1.3763938749197622E-2</c:v>
                </c:pt>
                <c:pt idx="56">
                  <c:v>1.2660331531797329E-2</c:v>
                </c:pt>
                <c:pt idx="57">
                  <c:v>1.1621563764583493E-2</c:v>
                </c:pt>
                <c:pt idx="58">
                  <c:v>1.0647759006235359E-2</c:v>
                </c:pt>
                <c:pt idx="59">
                  <c:v>9.7382115165099217E-3</c:v>
                </c:pt>
                <c:pt idx="60">
                  <c:v>8.8915447722327529E-3</c:v>
                </c:pt>
                <c:pt idx="61">
                  <c:v>8.1058525743192625E-3</c:v>
                </c:pt>
                <c:pt idx="62">
                  <c:v>7.378822995134331E-3</c:v>
                </c:pt>
                <c:pt idx="63">
                  <c:v>6.7078458654649901E-3</c:v>
                </c:pt>
                <c:pt idx="64">
                  <c:v>6.0901048097945611E-3</c:v>
                </c:pt>
                <c:pt idx="65">
                  <c:v>5.5226550345852127E-3</c:v>
                </c:pt>
                <c:pt idx="66">
                  <c:v>5.0024881808958021E-3</c:v>
                </c:pt>
                <c:pt idx="67">
                  <c:v>4.5265855905651077E-3</c:v>
                </c:pt>
                <c:pt idx="68">
                  <c:v>4.0919613218150918E-3</c:v>
                </c:pt>
                <c:pt idx="69">
                  <c:v>3.6956961998914199E-3</c:v>
                </c:pt>
                <c:pt idx="70">
                  <c:v>3.3349641129431936E-3</c:v>
                </c:pt>
                <c:pt idx="71">
                  <c:v>3.0070516720367658E-3</c:v>
                </c:pt>
                <c:pt idx="72">
                  <c:v>2.7093722542206366E-3</c:v>
                </c:pt>
                <c:pt idx="73">
                  <c:v>2.4394753443996624E-3</c:v>
                </c:pt>
                <c:pt idx="74">
                  <c:v>2.1950519894847896E-3</c:v>
                </c:pt>
                <c:pt idx="75">
                  <c:v>1.9739370797445715E-3</c:v>
                </c:pt>
                <c:pt idx="76">
                  <c:v>1.7741090794458113E-3</c:v>
                </c:pt>
                <c:pt idx="77">
                  <c:v>1.5936877429542878E-3</c:v>
                </c:pt>
                <c:pt idx="78">
                  <c:v>1.430930274127469E-3</c:v>
                </c:pt>
                <c:pt idx="79">
                  <c:v>1.2842263163076336E-3</c:v>
                </c:pt>
                <c:pt idx="80">
                  <c:v>1.1520920974402184E-3</c:v>
                </c:pt>
                <c:pt idx="81">
                  <c:v>1.0331639995092992E-3</c:v>
                </c:pt>
                <c:pt idx="82">
                  <c:v>9.2619177316457233E-4</c:v>
                </c:pt>
                <c:pt idx="83">
                  <c:v>8.3003157658561027E-4</c:v>
                </c:pt>
                <c:pt idx="84">
                  <c:v>7.4363898171940263E-4</c:v>
                </c:pt>
                <c:pt idx="85">
                  <c:v>6.6606206044622651E-4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A-6744-B43F-C3EA1A80A461}"/>
            </c:ext>
          </c:extLst>
        </c:ser>
        <c:ser>
          <c:idx val="1"/>
          <c:order val="1"/>
          <c:tx>
            <c:strRef>
              <c:f>Autobahn!$C$7</c:f>
              <c:strCache>
                <c:ptCount val="1"/>
                <c:pt idx="0">
                  <c:v>leere Batterie 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Autobahn!$A$8:$A$93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Autobahn!$C$8:$C$93</c:f>
              <c:numCache>
                <c:formatCode>0.00</c:formatCode>
                <c:ptCount val="86"/>
                <c:pt idx="0">
                  <c:v>0</c:v>
                </c:pt>
                <c:pt idx="1">
                  <c:v>5.2884241499890364E-44</c:v>
                </c:pt>
                <c:pt idx="2">
                  <c:v>1.368122992216539E-25</c:v>
                </c:pt>
                <c:pt idx="3">
                  <c:v>3.0812131661321635E-17</c:v>
                </c:pt>
                <c:pt idx="4">
                  <c:v>2.1501644858709247E-12</c:v>
                </c:pt>
                <c:pt idx="5">
                  <c:v>2.9564773220742412E-9</c:v>
                </c:pt>
                <c:pt idx="6">
                  <c:v>4.3016918272954274E-7</c:v>
                </c:pt>
                <c:pt idx="7">
                  <c:v>1.5161552610385567E-5</c:v>
                </c:pt>
                <c:pt idx="8">
                  <c:v>2.0528910825494845E-4</c:v>
                </c:pt>
                <c:pt idx="9">
                  <c:v>1.4120021877248655E-3</c:v>
                </c:pt>
                <c:pt idx="10">
                  <c:v>5.9067177500591031E-3</c:v>
                </c:pt>
                <c:pt idx="11">
                  <c:v>1.6972367762232869E-2</c:v>
                </c:pt>
                <c:pt idx="12">
                  <c:v>3.6484174547352671E-2</c:v>
                </c:pt>
                <c:pt idx="13">
                  <c:v>6.2410636616963472E-2</c:v>
                </c:pt>
                <c:pt idx="14">
                  <c:v>8.8942523194109363E-2</c:v>
                </c:pt>
                <c:pt idx="15">
                  <c:v>0.10933119949185544</c:v>
                </c:pt>
                <c:pt idx="16">
                  <c:v>0.11907149682395618</c:v>
                </c:pt>
                <c:pt idx="17">
                  <c:v>0.11733596482395074</c:v>
                </c:pt>
                <c:pt idx="18">
                  <c:v>0.10638284651077219</c:v>
                </c:pt>
                <c:pt idx="19">
                  <c:v>8.9943024182758097E-2</c:v>
                </c:pt>
                <c:pt idx="20">
                  <c:v>7.1691153231033256E-2</c:v>
                </c:pt>
                <c:pt idx="21">
                  <c:v>5.4357796718309655E-2</c:v>
                </c:pt>
                <c:pt idx="22">
                  <c:v>3.9498554836076012E-2</c:v>
                </c:pt>
                <c:pt idx="23">
                  <c:v>2.7676643803627329E-2</c:v>
                </c:pt>
                <c:pt idx="24">
                  <c:v>1.8798250660623694E-2</c:v>
                </c:pt>
                <c:pt idx="25">
                  <c:v>1.2430889572288958E-2</c:v>
                </c:pt>
                <c:pt idx="26">
                  <c:v>8.0332285948940523E-3</c:v>
                </c:pt>
                <c:pt idx="27">
                  <c:v>5.089406659685625E-3</c:v>
                </c:pt>
                <c:pt idx="28">
                  <c:v>3.1697345611381828E-3</c:v>
                </c:pt>
                <c:pt idx="29">
                  <c:v>1.9452831716431545E-3</c:v>
                </c:pt>
                <c:pt idx="30">
                  <c:v>1.1787846373639927E-3</c:v>
                </c:pt>
                <c:pt idx="31">
                  <c:v>7.065594462807625E-4</c:v>
                </c:pt>
                <c:pt idx="32">
                  <c:v>4.1956320956555471E-4</c:v>
                </c:pt>
                <c:pt idx="33">
                  <c:v>2.4715412752610927E-4</c:v>
                </c:pt>
                <c:pt idx="34">
                  <c:v>1.4460223103258805E-4</c:v>
                </c:pt>
                <c:pt idx="35">
                  <c:v>8.4114586912595809E-5</c:v>
                </c:pt>
                <c:pt idx="36">
                  <c:v>4.8691765833091359E-5</c:v>
                </c:pt>
                <c:pt idx="37">
                  <c:v>2.8072405256923002E-5</c:v>
                </c:pt>
                <c:pt idx="38">
                  <c:v>1.6130767047574999E-5</c:v>
                </c:pt>
                <c:pt idx="39">
                  <c:v>9.2439520625804682E-6</c:v>
                </c:pt>
                <c:pt idx="40">
                  <c:v>5.2860661712561685E-6</c:v>
                </c:pt>
                <c:pt idx="41">
                  <c:v>3.0178491139169152E-6</c:v>
                </c:pt>
                <c:pt idx="42">
                  <c:v>1.7208630169843717E-6</c:v>
                </c:pt>
                <c:pt idx="43">
                  <c:v>9.8050916837683562E-7</c:v>
                </c:pt>
                <c:pt idx="44">
                  <c:v>5.5842860885595616E-7</c:v>
                </c:pt>
                <c:pt idx="45">
                  <c:v>3.1800345110780251E-7</c:v>
                </c:pt>
                <c:pt idx="46">
                  <c:v>1.811202590095731E-7</c:v>
                </c:pt>
                <c:pt idx="47">
                  <c:v>1.0320079531837238E-7</c:v>
                </c:pt>
                <c:pt idx="48">
                  <c:v>5.8840726845148599E-8</c:v>
                </c:pt>
                <c:pt idx="49">
                  <c:v>3.357683445386226E-8</c:v>
                </c:pt>
                <c:pt idx="50">
                  <c:v>1.9179915088883309E-8</c:v>
                </c:pt>
                <c:pt idx="51">
                  <c:v>1.0969048931337846E-8</c:v>
                </c:pt>
                <c:pt idx="52">
                  <c:v>6.2815861364116642E-9</c:v>
                </c:pt>
                <c:pt idx="53">
                  <c:v>3.602497617474757E-9</c:v>
                </c:pt>
                <c:pt idx="54">
                  <c:v>2.0692934280714943E-9</c:v>
                </c:pt>
                <c:pt idx="55">
                  <c:v>1.1906084903885166E-9</c:v>
                </c:pt>
                <c:pt idx="56">
                  <c:v>6.8625263611044834E-10</c:v>
                </c:pt>
                <c:pt idx="57">
                  <c:v>3.9628026652423506E-10</c:v>
                </c:pt>
                <c:pt idx="58">
                  <c:v>2.292743463942772E-10</c:v>
                </c:pt>
                <c:pt idx="59">
                  <c:v>1.3291399074786087E-10</c:v>
                </c:pt>
                <c:pt idx="60">
                  <c:v>7.7209813361114821E-11</c:v>
                </c:pt>
                <c:pt idx="61">
                  <c:v>4.4945092255807376E-11</c:v>
                </c:pt>
                <c:pt idx="62">
                  <c:v>2.6219157770902034E-11</c:v>
                </c:pt>
                <c:pt idx="63">
                  <c:v>1.5328447565696238E-11</c:v>
                </c:pt>
                <c:pt idx="64">
                  <c:v>8.9812061683913423E-12</c:v>
                </c:pt>
                <c:pt idx="65">
                  <c:v>5.2740020855361944E-12</c:v>
                </c:pt>
                <c:pt idx="66">
                  <c:v>3.104025838481441E-12</c:v>
                </c:pt>
                <c:pt idx="67">
                  <c:v>1.8310422538620957E-12</c:v>
                </c:pt>
                <c:pt idx="68">
                  <c:v>1.0825962527934193E-12</c:v>
                </c:pt>
                <c:pt idx="69">
                  <c:v>6.415574135177415E-13</c:v>
                </c:pt>
                <c:pt idx="70">
                  <c:v>3.8107450121294645E-13</c:v>
                </c:pt>
                <c:pt idx="71">
                  <c:v>2.2687830798054067E-13</c:v>
                </c:pt>
                <c:pt idx="72">
                  <c:v>1.3539016698691879E-13</c:v>
                </c:pt>
                <c:pt idx="73">
                  <c:v>8.0982978398593852E-14</c:v>
                </c:pt>
                <c:pt idx="74">
                  <c:v>4.8552701229823238E-14</c:v>
                </c:pt>
                <c:pt idx="75">
                  <c:v>2.9177351336919866E-14</c:v>
                </c:pt>
                <c:pt idx="76">
                  <c:v>1.7574793623154048E-14</c:v>
                </c:pt>
                <c:pt idx="77">
                  <c:v>1.0610722362457107E-14</c:v>
                </c:pt>
                <c:pt idx="78">
                  <c:v>6.4210771075862485E-15</c:v>
                </c:pt>
                <c:pt idx="79">
                  <c:v>3.8947212524124014E-15</c:v>
                </c:pt>
                <c:pt idx="80">
                  <c:v>2.3678124796337039E-15</c:v>
                </c:pt>
                <c:pt idx="81">
                  <c:v>1.4428364240023781E-15</c:v>
                </c:pt>
                <c:pt idx="82">
                  <c:v>8.8121484662500977E-16</c:v>
                </c:pt>
                <c:pt idx="83">
                  <c:v>5.3943252176231291E-16</c:v>
                </c:pt>
                <c:pt idx="84">
                  <c:v>3.3096223325278013E-16</c:v>
                </c:pt>
                <c:pt idx="85">
                  <c:v>2.0351706764945153E-16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A-6744-B43F-C3EA1A80A461}"/>
            </c:ext>
          </c:extLst>
        </c:ser>
        <c:ser>
          <c:idx val="2"/>
          <c:order val="2"/>
          <c:tx>
            <c:strRef>
              <c:f>Autobahn!$D$7</c:f>
              <c:strCache>
                <c:ptCount val="1"/>
                <c:pt idx="0">
                  <c:v>Mischung 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Autobahn!$A$8:$A$93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Autobahn!$D$8:$D$93</c:f>
              <c:numCache>
                <c:formatCode>0.00</c:formatCode>
                <c:ptCount val="86"/>
                <c:pt idx="0">
                  <c:v>0</c:v>
                </c:pt>
                <c:pt idx="1">
                  <c:v>2.9351039024558919E-34</c:v>
                </c:pt>
                <c:pt idx="2">
                  <c:v>2.2291294257064872E-23</c:v>
                </c:pt>
                <c:pt idx="3">
                  <c:v>3.0500246059064743E-17</c:v>
                </c:pt>
                <c:pt idx="4">
                  <c:v>1.8356876778173017E-12</c:v>
                </c:pt>
                <c:pt idx="5">
                  <c:v>2.5144780546669038E-9</c:v>
                </c:pt>
                <c:pt idx="6">
                  <c:v>3.6571268592321716E-7</c:v>
                </c:pt>
                <c:pt idx="7">
                  <c:v>1.2888653228646262E-5</c:v>
                </c:pt>
                <c:pt idx="8">
                  <c:v>1.7450977255685206E-4</c:v>
                </c:pt>
                <c:pt idx="9">
                  <c:v>1.2002967434660435E-3</c:v>
                </c:pt>
                <c:pt idx="10">
                  <c:v>5.0211703796960846E-3</c:v>
                </c:pt>
                <c:pt idx="11">
                  <c:v>1.4428239652803937E-2</c:v>
                </c:pt>
                <c:pt idx="12">
                  <c:v>3.1016836469335639E-2</c:v>
                </c:pt>
                <c:pt idx="13">
                  <c:v>5.3062784994592847E-2</c:v>
                </c:pt>
                <c:pt idx="14">
                  <c:v>7.5632376694466041E-2</c:v>
                </c:pt>
                <c:pt idx="15">
                  <c:v>9.2995003423184869E-2</c:v>
                </c:pt>
                <c:pt idx="16">
                  <c:v>0.10132827419120699</c:v>
                </c:pt>
                <c:pt idx="17">
                  <c:v>9.9936434688377401E-2</c:v>
                </c:pt>
                <c:pt idx="18">
                  <c:v>9.0746197786323493E-2</c:v>
                </c:pt>
                <c:pt idx="19">
                  <c:v>7.6934631839343001E-2</c:v>
                </c:pt>
                <c:pt idx="20">
                  <c:v>6.1628735504842394E-2</c:v>
                </c:pt>
                <c:pt idx="21">
                  <c:v>4.7150141958632638E-2</c:v>
                </c:pt>
                <c:pt idx="22">
                  <c:v>3.4818629171980503E-2</c:v>
                </c:pt>
                <c:pt idx="23">
                  <c:v>2.5107429948988364E-2</c:v>
                </c:pt>
                <c:pt idx="24">
                  <c:v>1.7928715951351759E-2</c:v>
                </c:pt>
                <c:pt idx="25">
                  <c:v>1.2904856383406721E-2</c:v>
                </c:pt>
                <c:pt idx="26">
                  <c:v>9.5645447371014124E-3</c:v>
                </c:pt>
                <c:pt idx="27">
                  <c:v>7.4577605908103615E-3</c:v>
                </c:pt>
                <c:pt idx="28">
                  <c:v>6.2080947012969918E-3</c:v>
                </c:pt>
                <c:pt idx="29">
                  <c:v>5.5257581859085381E-3</c:v>
                </c:pt>
                <c:pt idx="30">
                  <c:v>5.2003060227374543E-3</c:v>
                </c:pt>
                <c:pt idx="31">
                  <c:v>5.085571463415527E-3</c:v>
                </c:pt>
                <c:pt idx="32">
                  <c:v>5.0836990930980186E-3</c:v>
                </c:pt>
                <c:pt idx="33">
                  <c:v>5.1313570966899941E-3</c:v>
                </c:pt>
                <c:pt idx="34">
                  <c:v>5.1890229437190809E-3</c:v>
                </c:pt>
                <c:pt idx="35">
                  <c:v>5.2331790745020843E-3</c:v>
                </c:pt>
                <c:pt idx="36">
                  <c:v>5.2508641478916747E-3</c:v>
                </c:pt>
                <c:pt idx="37">
                  <c:v>5.2359726437060652E-3</c:v>
                </c:pt>
                <c:pt idx="38">
                  <c:v>5.1867832455885204E-3</c:v>
                </c:pt>
                <c:pt idx="39">
                  <c:v>5.104320797714776E-3</c:v>
                </c:pt>
                <c:pt idx="40">
                  <c:v>4.9912716612634748E-3</c:v>
                </c:pt>
                <c:pt idx="41">
                  <c:v>4.8512627908992717E-3</c:v>
                </c:pt>
                <c:pt idx="42">
                  <c:v>4.6883799545627998E-3</c:v>
                </c:pt>
                <c:pt idx="43">
                  <c:v>4.5068447293790158E-3</c:v>
                </c:pt>
                <c:pt idx="44">
                  <c:v>4.3107987530332445E-3</c:v>
                </c:pt>
                <c:pt idx="45">
                  <c:v>4.1041620197688235E-3</c:v>
                </c:pt>
                <c:pt idx="46">
                  <c:v>3.8905434355170601E-3</c:v>
                </c:pt>
                <c:pt idx="47">
                  <c:v>3.6731889330445439E-3</c:v>
                </c:pt>
                <c:pt idx="48">
                  <c:v>3.4549568729971979E-3</c:v>
                </c:pt>
                <c:pt idx="49">
                  <c:v>3.2383132804429029E-3</c:v>
                </c:pt>
                <c:pt idx="50">
                  <c:v>3.0253413365068961E-3</c:v>
                </c:pt>
                <c:pt idx="51">
                  <c:v>2.8177608453110402E-3</c:v>
                </c:pt>
                <c:pt idx="52">
                  <c:v>2.6169543503083603E-3</c:v>
                </c:pt>
                <c:pt idx="53">
                  <c:v>2.4239973077618748E-3</c:v>
                </c:pt>
                <c:pt idx="54">
                  <c:v>2.2396903096951145E-3</c:v>
                </c:pt>
                <c:pt idx="55">
                  <c:v>2.0645918243968604E-3</c:v>
                </c:pt>
                <c:pt idx="56">
                  <c:v>1.8990503130843399E-3</c:v>
                </c:pt>
                <c:pt idx="57">
                  <c:v>1.7432349015257505E-3</c:v>
                </c:pt>
                <c:pt idx="58">
                  <c:v>1.5971640458184982E-3</c:v>
                </c:pt>
                <c:pt idx="59">
                  <c:v>1.4607318404533803E-3</c:v>
                </c:pt>
                <c:pt idx="60">
                  <c:v>1.3337317814632542E-3</c:v>
                </c:pt>
                <c:pt idx="61">
                  <c:v>1.2158779243512179E-3</c:v>
                </c:pt>
                <c:pt idx="62">
                  <c:v>1.1068234715564337E-3</c:v>
                </c:pt>
                <c:pt idx="63">
                  <c:v>1.0061768928489288E-3</c:v>
                </c:pt>
                <c:pt idx="64">
                  <c:v>9.1351572910320939E-4</c:v>
                </c:pt>
                <c:pt idx="65">
                  <c:v>8.2839825967068366E-4</c:v>
                </c:pt>
                <c:pt idx="66">
                  <c:v>7.5037322977279219E-4</c:v>
                </c:pt>
                <c:pt idx="67">
                  <c:v>6.78987840141152E-4</c:v>
                </c:pt>
                <c:pt idx="68">
                  <c:v>6.1379419919247054E-4</c:v>
                </c:pt>
                <c:pt idx="69">
                  <c:v>5.5435443052903675E-4</c:v>
                </c:pt>
                <c:pt idx="70">
                  <c:v>5.0024461726539229E-4</c:v>
                </c:pt>
                <c:pt idx="71">
                  <c:v>4.5105775099836141E-4</c:v>
                </c:pt>
                <c:pt idx="72">
                  <c:v>4.0640583824817712E-4</c:v>
                </c:pt>
                <c:pt idx="73">
                  <c:v>3.6592130172878487E-4</c:v>
                </c:pt>
                <c:pt idx="74">
                  <c:v>3.2925779846398819E-4</c:v>
                </c:pt>
                <c:pt idx="75">
                  <c:v>2.9609056198648647E-4</c:v>
                </c:pt>
                <c:pt idx="76">
                  <c:v>2.6611636193181026E-4</c:v>
                </c:pt>
                <c:pt idx="77">
                  <c:v>2.390531614521623E-4</c:v>
                </c:pt>
                <c:pt idx="78">
                  <c:v>2.1463954112457825E-4</c:v>
                </c:pt>
                <c:pt idx="79">
                  <c:v>1.9263394744945553E-4</c:v>
                </c:pt>
                <c:pt idx="80">
                  <c:v>1.728138146180454E-4</c:v>
                </c:pt>
                <c:pt idx="81">
                  <c:v>1.549745999276213E-4</c:v>
                </c:pt>
                <c:pt idx="82">
                  <c:v>1.3892876597543488E-4</c:v>
                </c:pt>
                <c:pt idx="83">
                  <c:v>1.2450473648830003E-4</c:v>
                </c:pt>
                <c:pt idx="84">
                  <c:v>1.1154584725819171E-4</c:v>
                </c:pt>
                <c:pt idx="85">
                  <c:v>9.9909309067106958E-5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A-6744-B43F-C3EA1A80A461}"/>
            </c:ext>
          </c:extLst>
        </c:ser>
        <c:ser>
          <c:idx val="3"/>
          <c:order val="3"/>
          <c:tx>
            <c:strRef>
              <c:f>Autobahn!$E$7</c:f>
              <c:strCache>
                <c:ptCount val="1"/>
                <c:pt idx="0">
                  <c:v>Normiert f_norm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Autobahn!$A$8:$A$93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Autobahn!$E$8:$E$93</c:f>
              <c:numCache>
                <c:formatCode>0.00</c:formatCode>
                <c:ptCount val="86"/>
                <c:pt idx="0">
                  <c:v>0</c:v>
                </c:pt>
                <c:pt idx="1">
                  <c:v>2.9376004856827348E-34</c:v>
                </c:pt>
                <c:pt idx="2">
                  <c:v>2.2310255109285551E-23</c:v>
                </c:pt>
                <c:pt idx="3">
                  <c:v>3.0526189400512355E-17</c:v>
                </c:pt>
                <c:pt idx="4">
                  <c:v>1.8372491036538203E-12</c:v>
                </c:pt>
                <c:pt idx="5">
                  <c:v>2.5166168558624232E-9</c:v>
                </c:pt>
                <c:pt idx="6">
                  <c:v>3.6602375912125813E-7</c:v>
                </c:pt>
                <c:pt idx="7">
                  <c:v>1.2899616246153175E-5</c:v>
                </c:pt>
                <c:pt idx="8">
                  <c:v>1.7465820960901947E-4</c:v>
                </c:pt>
                <c:pt idx="9">
                  <c:v>1.2013177092705127E-3</c:v>
                </c:pt>
                <c:pt idx="10">
                  <c:v>5.0254413595883403E-3</c:v>
                </c:pt>
                <c:pt idx="11">
                  <c:v>1.4440512234050521E-2</c:v>
                </c:pt>
                <c:pt idx="12">
                  <c:v>3.1043219219743307E-2</c:v>
                </c:pt>
                <c:pt idx="13">
                  <c:v>5.3107919907491918E-2</c:v>
                </c:pt>
                <c:pt idx="14">
                  <c:v>7.5696709177859103E-2</c:v>
                </c:pt>
                <c:pt idx="15">
                  <c:v>9.3074104461322651E-2</c:v>
                </c:pt>
                <c:pt idx="16">
                  <c:v>0.10141446346360004</c:v>
                </c:pt>
                <c:pt idx="17">
                  <c:v>0.10002144006974899</c:v>
                </c:pt>
                <c:pt idx="18">
                  <c:v>9.0823386002762282E-2</c:v>
                </c:pt>
                <c:pt idx="19">
                  <c:v>7.7000072013795676E-2</c:v>
                </c:pt>
                <c:pt idx="20">
                  <c:v>6.1681156568104988E-2</c:v>
                </c:pt>
                <c:pt idx="21">
                  <c:v>4.7190247609904028E-2</c:v>
                </c:pt>
                <c:pt idx="22">
                  <c:v>3.4848245706338855E-2</c:v>
                </c:pt>
                <c:pt idx="23">
                  <c:v>2.512878619073072E-2</c:v>
                </c:pt>
                <c:pt idx="24">
                  <c:v>1.7943966018473922E-2</c:v>
                </c:pt>
                <c:pt idx="25">
                  <c:v>1.2915833183227903E-2</c:v>
                </c:pt>
                <c:pt idx="26">
                  <c:v>9.5726802862187901E-3</c:v>
                </c:pt>
                <c:pt idx="27">
                  <c:v>7.4641041209270462E-3</c:v>
                </c:pt>
                <c:pt idx="28">
                  <c:v>6.2133752724852697E-3</c:v>
                </c:pt>
                <c:pt idx="29">
                  <c:v>5.5304583654118894E-3</c:v>
                </c:pt>
                <c:pt idx="30">
                  <c:v>5.2047293744218537E-3</c:v>
                </c:pt>
                <c:pt idx="31">
                  <c:v>5.0898972225151794E-3</c:v>
                </c:pt>
                <c:pt idx="32">
                  <c:v>5.0880232595697829E-3</c:v>
                </c:pt>
                <c:pt idx="33">
                  <c:v>5.1357218007973401E-3</c:v>
                </c:pt>
                <c:pt idx="34">
                  <c:v>5.1934366980785612E-3</c:v>
                </c:pt>
                <c:pt idx="35">
                  <c:v>5.2376303878234063E-3</c:v>
                </c:pt>
                <c:pt idx="36">
                  <c:v>5.2553305040390968E-3</c:v>
                </c:pt>
                <c:pt idx="37">
                  <c:v>5.2404263332219789E-3</c:v>
                </c:pt>
                <c:pt idx="38">
                  <c:v>5.1911950948730964E-3</c:v>
                </c:pt>
                <c:pt idx="39">
                  <c:v>5.1086625048950016E-3</c:v>
                </c:pt>
                <c:pt idx="40">
                  <c:v>4.9955172094703713E-3</c:v>
                </c:pt>
                <c:pt idx="41">
                  <c:v>4.8553892483315392E-3</c:v>
                </c:pt>
                <c:pt idx="42">
                  <c:v>4.6923678647508632E-3</c:v>
                </c:pt>
                <c:pt idx="43">
                  <c:v>4.5106782267035697E-3</c:v>
                </c:pt>
                <c:pt idx="44">
                  <c:v>4.3144654947292072E-3</c:v>
                </c:pt>
                <c:pt idx="45">
                  <c:v>4.1076529973966434E-3</c:v>
                </c:pt>
                <c:pt idx="46">
                  <c:v>3.89385271035271E-3</c:v>
                </c:pt>
                <c:pt idx="47">
                  <c:v>3.6763133273365451E-3</c:v>
                </c:pt>
                <c:pt idx="48">
                  <c:v>3.4578956402999067E-3</c:v>
                </c:pt>
                <c:pt idx="49">
                  <c:v>3.2410677718980271E-3</c:v>
                </c:pt>
                <c:pt idx="50">
                  <c:v>3.0279146751985443E-3</c:v>
                </c:pt>
                <c:pt idx="51">
                  <c:v>2.8201576171792428E-3</c:v>
                </c:pt>
                <c:pt idx="52">
                  <c:v>2.6191803172770003E-3</c:v>
                </c:pt>
                <c:pt idx="53">
                  <c:v>2.4260591465320139E-3</c:v>
                </c:pt>
                <c:pt idx="54">
                  <c:v>2.2415953779469843E-3</c:v>
                </c:pt>
                <c:pt idx="55">
                  <c:v>2.0663479548407447E-3</c:v>
                </c:pt>
                <c:pt idx="56">
                  <c:v>1.9006656348297167E-3</c:v>
                </c:pt>
                <c:pt idx="57">
                  <c:v>1.7447176875395453E-3</c:v>
                </c:pt>
                <c:pt idx="58">
                  <c:v>1.5985225847662916E-3</c:v>
                </c:pt>
                <c:pt idx="59">
                  <c:v>1.4619743309181098E-3</c:v>
                </c:pt>
                <c:pt idx="60">
                  <c:v>1.3348662463767186E-3</c:v>
                </c:pt>
                <c:pt idx="61">
                  <c:v>1.216912143422401E-3</c:v>
                </c:pt>
                <c:pt idx="62">
                  <c:v>1.1077649295102225E-3</c:v>
                </c:pt>
                <c:pt idx="63">
                  <c:v>1.0070327413767516E-3</c:v>
                </c:pt>
                <c:pt idx="64">
                  <c:v>9.1429276055508672E-4</c:v>
                </c:pt>
                <c:pt idx="65">
                  <c:v>8.2910289067148369E-4</c:v>
                </c:pt>
                <c:pt idx="66">
                  <c:v>7.5101149311255166E-4</c:v>
                </c:pt>
                <c:pt idx="67">
                  <c:v>6.7956538346134192E-4</c:v>
                </c:pt>
                <c:pt idx="68">
                  <c:v>6.1431628916044586E-4</c:v>
                </c:pt>
                <c:pt idx="69">
                  <c:v>5.5482596135689839E-4</c:v>
                </c:pt>
                <c:pt idx="70">
                  <c:v>5.0067012258387116E-4</c:v>
                </c:pt>
                <c:pt idx="71">
                  <c:v>4.5144141823908081E-4</c:v>
                </c:pt>
                <c:pt idx="72">
                  <c:v>4.067515248176415E-4</c:v>
                </c:pt>
                <c:pt idx="73">
                  <c:v>3.6623255237428203E-4</c:v>
                </c:pt>
                <c:pt idx="74">
                  <c:v>3.2953786333537641E-4</c:v>
                </c:pt>
                <c:pt idx="75">
                  <c:v>2.9634241498905425E-4</c:v>
                </c:pt>
                <c:pt idx="76">
                  <c:v>2.6634271904476679E-4</c:v>
                </c:pt>
                <c:pt idx="77">
                  <c:v>2.392564987557262E-4</c:v>
                </c:pt>
                <c:pt idx="78">
                  <c:v>2.1482211233704555E-4</c:v>
                </c:pt>
                <c:pt idx="79">
                  <c:v>1.9279780082504487E-4</c:v>
                </c:pt>
                <c:pt idx="80">
                  <c:v>1.7296080909772333E-4</c:v>
                </c:pt>
                <c:pt idx="81">
                  <c:v>1.5510642046945706E-4</c:v>
                </c:pt>
                <c:pt idx="82">
                  <c:v>1.3904693801921502E-4</c:v>
                </c:pt>
                <c:pt idx="83">
                  <c:v>1.2461063953197733E-4</c:v>
                </c:pt>
                <c:pt idx="84">
                  <c:v>1.1164072754200578E-4</c:v>
                </c:pt>
                <c:pt idx="85">
                  <c:v>9.9994291375574363E-5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5A-6744-B43F-C3EA1A80A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513439"/>
        <c:axId val="259515151"/>
      </c:lineChart>
      <c:catAx>
        <c:axId val="25951343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9515151"/>
        <c:crosses val="autoZero"/>
        <c:auto val="1"/>
        <c:lblAlgn val="ctr"/>
        <c:lblOffset val="100"/>
        <c:noMultiLvlLbl val="0"/>
      </c:catAx>
      <c:valAx>
        <c:axId val="25951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951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Industrie!$B$7</c:f>
              <c:strCache>
                <c:ptCount val="1"/>
                <c:pt idx="0">
                  <c:v>spontanes Laden 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Industrie!$A$8:$A$93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Industrie!$B$8:$B$93</c:f>
              <c:numCache>
                <c:formatCode>0.00</c:formatCode>
                <c:ptCount val="86"/>
                <c:pt idx="0">
                  <c:v>0</c:v>
                </c:pt>
                <c:pt idx="1">
                  <c:v>4.3112605741533346E-79</c:v>
                </c:pt>
                <c:pt idx="2">
                  <c:v>2.3623157047270362E-53</c:v>
                </c:pt>
                <c:pt idx="3">
                  <c:v>1.026435544726767E-40</c:v>
                </c:pt>
                <c:pt idx="4">
                  <c:v>7.8635614112628808E-33</c:v>
                </c:pt>
                <c:pt idx="5">
                  <c:v>2.4680069868249666E-27</c:v>
                </c:pt>
                <c:pt idx="6">
                  <c:v>3.035177088231445E-23</c:v>
                </c:pt>
                <c:pt idx="7">
                  <c:v>4.5553400019356154E-20</c:v>
                </c:pt>
                <c:pt idx="8">
                  <c:v>1.5901874055557755E-17</c:v>
                </c:pt>
                <c:pt idx="9">
                  <c:v>1.9221056389115396E-15</c:v>
                </c:pt>
                <c:pt idx="10">
                  <c:v>1.0443663120103253E-13</c:v>
                </c:pt>
                <c:pt idx="11">
                  <c:v>3.052044906699251E-12</c:v>
                </c:pt>
                <c:pt idx="12">
                  <c:v>5.4523542931002267E-11</c:v>
                </c:pt>
                <c:pt idx="13">
                  <c:v>6.5420931308808059E-10</c:v>
                </c:pt>
                <c:pt idx="14">
                  <c:v>5.6600643493948865E-9</c:v>
                </c:pt>
                <c:pt idx="15">
                  <c:v>3.7294766366548679E-8</c:v>
                </c:pt>
                <c:pt idx="16">
                  <c:v>1.953552186007571E-7</c:v>
                </c:pt>
                <c:pt idx="17">
                  <c:v>8.4177384116771402E-7</c:v>
                </c:pt>
                <c:pt idx="18">
                  <c:v>3.0672437677452421E-6</c:v>
                </c:pt>
                <c:pt idx="19">
                  <c:v>9.6668613430451814E-6</c:v>
                </c:pt>
                <c:pt idx="20">
                  <c:v>2.6847694973460313E-5</c:v>
                </c:pt>
                <c:pt idx="21">
                  <c:v>6.6737650090697116E-5</c:v>
                </c:pt>
                <c:pt idx="22">
                  <c:v>1.5044040525646248E-4</c:v>
                </c:pt>
                <c:pt idx="23">
                  <c:v>3.1096490919035668E-4</c:v>
                </c:pt>
                <c:pt idx="24">
                  <c:v>5.9502030028271615E-4</c:v>
                </c:pt>
                <c:pt idx="25">
                  <c:v>1.0625952771245663E-3</c:v>
                </c:pt>
                <c:pt idx="26">
                  <c:v>1.7835407563779658E-3</c:v>
                </c:pt>
                <c:pt idx="27">
                  <c:v>2.8310072541029921E-3</c:v>
                </c:pt>
                <c:pt idx="28">
                  <c:v>4.2723775177695008E-3</c:v>
                </c:pt>
                <c:pt idx="29">
                  <c:v>6.1590377541699184E-3</c:v>
                </c:pt>
                <c:pt idx="30">
                  <c:v>8.5167333090200026E-3</c:v>
                </c:pt>
                <c:pt idx="31">
                  <c:v>1.1338245862031108E-2</c:v>
                </c:pt>
                <c:pt idx="32">
                  <c:v>1.457972746646008E-2</c:v>
                </c:pt>
                <c:pt idx="33">
                  <c:v>1.8161357132661204E-2</c:v>
                </c:pt>
                <c:pt idx="34">
                  <c:v>2.1972226801625434E-2</c:v>
                </c:pt>
                <c:pt idx="35">
                  <c:v>2.5878689309857671E-2</c:v>
                </c:pt>
                <c:pt idx="36">
                  <c:v>2.9734936380041252E-2</c:v>
                </c:pt>
                <c:pt idx="37">
                  <c:v>3.3394375985568388E-2</c:v>
                </c:pt>
                <c:pt idx="38">
                  <c:v>3.6720435702600092E-2</c:v>
                </c:pt>
                <c:pt idx="39">
                  <c:v>3.9595673963560458E-2</c:v>
                </c:pt>
                <c:pt idx="40">
                  <c:v>4.1928452782596125E-2</c:v>
                </c:pt>
                <c:pt idx="41">
                  <c:v>4.3656830597820738E-2</c:v>
                </c:pt>
                <c:pt idx="42">
                  <c:v>4.4749704259734464E-2</c:v>
                </c:pt>
                <c:pt idx="43">
                  <c:v>4.5205519820707647E-2</c:v>
                </c:pt>
                <c:pt idx="44">
                  <c:v>4.5049061826044678E-2</c:v>
                </c:pt>
                <c:pt idx="45">
                  <c:v>4.4326920044603618E-2</c:v>
                </c:pt>
                <c:pt idx="46">
                  <c:v>4.3102235239297196E-2</c:v>
                </c:pt>
                <c:pt idx="47">
                  <c:v>4.1449263768117625E-2</c:v>
                </c:pt>
                <c:pt idx="48">
                  <c:v>3.944819879865899E-2</c:v>
                </c:pt>
                <c:pt idx="49">
                  <c:v>3.7180566024861035E-2</c:v>
                </c:pt>
                <c:pt idx="50">
                  <c:v>3.4725391904983867E-2</c:v>
                </c:pt>
                <c:pt idx="51">
                  <c:v>3.215623514466337E-2</c:v>
                </c:pt>
                <c:pt idx="52">
                  <c:v>2.953908474594125E-2</c:v>
                </c:pt>
                <c:pt idx="53">
                  <c:v>2.6931063318281687E-2</c:v>
                </c:pt>
                <c:pt idx="54">
                  <c:v>2.437983206375182E-2</c:v>
                </c:pt>
                <c:pt idx="55">
                  <c:v>2.192357129307497E-2</c:v>
                </c:pt>
                <c:pt idx="56">
                  <c:v>1.9591403728387607E-2</c:v>
                </c:pt>
                <c:pt idx="57">
                  <c:v>1.7404133064267066E-2</c:v>
                </c:pt>
                <c:pt idx="58">
                  <c:v>1.5375183346510822E-2</c:v>
                </c:pt>
                <c:pt idx="59">
                  <c:v>1.3511642275577947E-2</c:v>
                </c:pt>
                <c:pt idx="60">
                  <c:v>1.1815330827274581E-2</c:v>
                </c:pt>
                <c:pt idx="61">
                  <c:v>1.0283840606255576E-2</c:v>
                </c:pt>
                <c:pt idx="62">
                  <c:v>8.9114977714315115E-3</c:v>
                </c:pt>
                <c:pt idx="63">
                  <c:v>7.6902274204360731E-3</c:v>
                </c:pt>
                <c:pt idx="64">
                  <c:v>6.610304656188796E-3</c:v>
                </c:pt>
                <c:pt idx="65">
                  <c:v>5.6609881644676492E-3</c:v>
                </c:pt>
                <c:pt idx="66">
                  <c:v>4.8310392013583801E-3</c:v>
                </c:pt>
                <c:pt idx="67">
                  <c:v>4.1091337412776374E-3</c:v>
                </c:pt>
                <c:pt idx="68">
                  <c:v>3.4841785439039402E-3</c:v>
                </c:pt>
                <c:pt idx="69">
                  <c:v>2.9455434434778787E-3</c:v>
                </c:pt>
                <c:pt idx="70">
                  <c:v>2.4832226042368079E-3</c:v>
                </c:pt>
                <c:pt idx="71">
                  <c:v>2.0879371364477916E-3</c:v>
                </c:pt>
                <c:pt idx="72">
                  <c:v>1.7511905928712405E-3</c:v>
                </c:pt>
                <c:pt idx="73">
                  <c:v>1.4652876774171404E-3</c:v>
                </c:pt>
                <c:pt idx="74">
                  <c:v>1.2233251588324597E-3</c:v>
                </c:pt>
                <c:pt idx="75">
                  <c:v>1.0191626114770774E-3</c:v>
                </c:pt>
                <c:pt idx="76">
                  <c:v>8.4737928488881923E-4</c:v>
                </c:pt>
                <c:pt idx="77">
                  <c:v>7.0322218657730047E-4</c:v>
                </c:pt>
                <c:pt idx="78">
                  <c:v>5.8254937804623919E-4</c:v>
                </c:pt>
                <c:pt idx="79">
                  <c:v>4.8177154511809073E-4</c:v>
                </c:pt>
                <c:pt idx="80">
                  <c:v>3.977941108502362E-4</c:v>
                </c:pt>
                <c:pt idx="81">
                  <c:v>3.2796150528535803E-4</c:v>
                </c:pt>
                <c:pt idx="82">
                  <c:v>2.7000467866922565E-4</c:v>
                </c:pt>
                <c:pt idx="83">
                  <c:v>2.2199252874843941E-4</c:v>
                </c:pt>
                <c:pt idx="84">
                  <c:v>1.8228759262593094E-4</c:v>
                </c:pt>
                <c:pt idx="85">
                  <c:v>1.4950611399439657E-4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8-EC4A-B8B3-7C10BBD66134}"/>
            </c:ext>
          </c:extLst>
        </c:ser>
        <c:ser>
          <c:idx val="1"/>
          <c:order val="1"/>
          <c:tx>
            <c:strRef>
              <c:f>Industrie!$C$7</c:f>
              <c:strCache>
                <c:ptCount val="1"/>
                <c:pt idx="0">
                  <c:v>leere Batterie 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Industrie!$A$8:$A$93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Industrie!$C$8:$C$93</c:f>
              <c:numCache>
                <c:formatCode>0.00</c:formatCode>
                <c:ptCount val="86"/>
                <c:pt idx="0">
                  <c:v>0</c:v>
                </c:pt>
                <c:pt idx="1">
                  <c:v>1.6322383101492363E-28</c:v>
                </c:pt>
                <c:pt idx="2">
                  <c:v>1.3452134502206306E-18</c:v>
                </c:pt>
                <c:pt idx="3">
                  <c:v>7.1536576240140659E-14</c:v>
                </c:pt>
                <c:pt idx="4">
                  <c:v>5.3256863080632025E-11</c:v>
                </c:pt>
                <c:pt idx="5">
                  <c:v>4.7745300659747201E-9</c:v>
                </c:pt>
                <c:pt idx="6">
                  <c:v>1.2471591240777478E-7</c:v>
                </c:pt>
                <c:pt idx="7">
                  <c:v>1.4751218962048775E-6</c:v>
                </c:pt>
                <c:pt idx="8">
                  <c:v>1.0128303587598684E-5</c:v>
                </c:pt>
                <c:pt idx="9">
                  <c:v>4.7005369652148987E-5</c:v>
                </c:pt>
                <c:pt idx="10">
                  <c:v>1.6282690948352902E-4</c:v>
                </c:pt>
                <c:pt idx="11">
                  <c:v>4.5049335420409628E-4</c:v>
                </c:pt>
                <c:pt idx="12">
                  <c:v>1.0444612519487861E-3</c:v>
                </c:pt>
                <c:pt idx="13">
                  <c:v>2.1017712173913754E-3</c:v>
                </c:pt>
                <c:pt idx="14">
                  <c:v>3.7687611405464506E-3</c:v>
                </c:pt>
                <c:pt idx="15">
                  <c:v>6.1444911863478106E-3</c:v>
                </c:pt>
                <c:pt idx="16">
                  <c:v>9.2528300613026436E-3</c:v>
                </c:pt>
                <c:pt idx="17">
                  <c:v>1.3030873018160536E-2</c:v>
                </c:pt>
                <c:pt idx="18">
                  <c:v>1.7335136798414419E-2</c:v>
                </c:pt>
                <c:pt idx="19">
                  <c:v>2.1961804883945918E-2</c:v>
                </c:pt>
                <c:pt idx="20">
                  <c:v>2.6674634316698191E-2</c:v>
                </c:pt>
                <c:pt idx="21">
                  <c:v>3.1233958438484765E-2</c:v>
                </c:pt>
                <c:pt idx="22">
                  <c:v>3.5421693124161838E-2</c:v>
                </c:pt>
                <c:pt idx="23">
                  <c:v>3.9059388344738231E-2</c:v>
                </c:pt>
                <c:pt idx="24">
                  <c:v>4.2018403244153749E-2</c:v>
                </c:pt>
                <c:pt idx="25">
                  <c:v>4.4222807787256076E-2</c:v>
                </c:pt>
                <c:pt idx="26">
                  <c:v>4.5646510813897673E-2</c:v>
                </c:pt>
                <c:pt idx="27">
                  <c:v>4.6306454639409307E-2</c:v>
                </c:pt>
                <c:pt idx="28">
                  <c:v>4.6253655785212865E-2</c:v>
                </c:pt>
                <c:pt idx="29">
                  <c:v>4.5563576466425629E-2</c:v>
                </c:pt>
                <c:pt idx="30">
                  <c:v>4.4326920044603618E-2</c:v>
                </c:pt>
                <c:pt idx="31">
                  <c:v>4.2641551497928559E-2</c:v>
                </c:pt>
                <c:pt idx="32">
                  <c:v>4.060590633443454E-2</c:v>
                </c:pt>
                <c:pt idx="33">
                  <c:v>3.8313991899695261E-2</c:v>
                </c:pt>
                <c:pt idx="34">
                  <c:v>3.58519061086063E-2</c:v>
                </c:pt>
                <c:pt idx="35">
                  <c:v>3.3295690593193338E-2</c:v>
                </c:pt>
                <c:pt idx="36">
                  <c:v>3.0710283185594524E-2</c:v>
                </c:pt>
                <c:pt idx="37">
                  <c:v>2.8149322813264179E-2</c:v>
                </c:pt>
                <c:pt idx="38">
                  <c:v>2.565557420555507E-2</c:v>
                </c:pt>
                <c:pt idx="39">
                  <c:v>2.3261768986312433E-2</c:v>
                </c:pt>
                <c:pt idx="40">
                  <c:v>2.0991695404890306E-2</c:v>
                </c:pt>
                <c:pt idx="41">
                  <c:v>1.8861405463909374E-2</c:v>
                </c:pt>
                <c:pt idx="42">
                  <c:v>1.688044204239646E-2</c:v>
                </c:pt>
                <c:pt idx="43">
                  <c:v>1.5053017933617739E-2</c:v>
                </c:pt>
                <c:pt idx="44">
                  <c:v>1.3379102810328541E-2</c:v>
                </c:pt>
                <c:pt idx="45">
                  <c:v>1.1855393029643668E-2</c:v>
                </c:pt>
                <c:pt idx="46">
                  <c:v>1.0476153360626184E-2</c:v>
                </c:pt>
                <c:pt idx="47">
                  <c:v>9.2339298369732634E-3</c:v>
                </c:pt>
                <c:pt idx="48">
                  <c:v>8.1201397463927256E-3</c:v>
                </c:pt>
                <c:pt idx="49">
                  <c:v>7.1255489828620875E-3</c:v>
                </c:pt>
                <c:pt idx="50">
                  <c:v>6.240649247429203E-3</c:v>
                </c:pt>
                <c:pt idx="51">
                  <c:v>5.4559484290868099E-3</c:v>
                </c:pt>
                <c:pt idx="52">
                  <c:v>4.7621873689149162E-3</c:v>
                </c:pt>
                <c:pt idx="53">
                  <c:v>4.1504954516964005E-3</c:v>
                </c:pt>
                <c:pt idx="54">
                  <c:v>3.6124963389608414E-3</c:v>
                </c:pt>
                <c:pt idx="55">
                  <c:v>3.1403738448580057E-3</c:v>
                </c:pt>
                <c:pt idx="56">
                  <c:v>2.7269065936153612E-3</c:v>
                </c:pt>
                <c:pt idx="57">
                  <c:v>2.3654787725944193E-3</c:v>
                </c:pt>
                <c:pt idx="58">
                  <c:v>2.0500730627346924E-3</c:v>
                </c:pt>
                <c:pt idx="59">
                  <c:v>1.7752507186365575E-3</c:v>
                </c:pt>
                <c:pt idx="60">
                  <c:v>1.5361227965869576E-3</c:v>
                </c:pt>
                <c:pt idx="61">
                  <c:v>1.328315691668607E-3</c:v>
                </c:pt>
                <c:pt idx="62">
                  <c:v>1.147933438391989E-3</c:v>
                </c:pt>
                <c:pt idx="63">
                  <c:v>9.9151864229253474E-4</c:v>
                </c:pt>
                <c:pt idx="64">
                  <c:v>8.5601342964341371E-4</c:v>
                </c:pt>
                <c:pt idx="65">
                  <c:v>7.3872141510617688E-4</c:v>
                </c:pt>
                <c:pt idx="66">
                  <c:v>6.372713792886836E-4</c:v>
                </c:pt>
                <c:pt idx="67">
                  <c:v>5.4958310716985781E-4</c:v>
                </c:pt>
                <c:pt idx="68">
                  <c:v>4.7383565274806917E-4</c:v>
                </c:pt>
                <c:pt idx="69">
                  <c:v>4.0843815498004096E-4</c:v>
                </c:pt>
                <c:pt idx="70">
                  <c:v>3.5200322637271201E-4</c:v>
                </c:pt>
                <c:pt idx="71">
                  <c:v>3.0332286105135822E-4</c:v>
                </c:pt>
                <c:pt idx="72">
                  <c:v>2.6134675753758803E-4</c:v>
                </c:pt>
                <c:pt idx="73">
                  <c:v>2.2516291769188941E-4</c:v>
                </c:pt>
                <c:pt idx="74">
                  <c:v>1.9398036310908757E-4</c:v>
                </c:pt>
                <c:pt idx="75">
                  <c:v>1.6711380031180661E-4</c:v>
                </c:pt>
                <c:pt idx="76">
                  <c:v>1.4397006366003256E-4</c:v>
                </c:pt>
                <c:pt idx="77">
                  <c:v>1.2403616784767966E-4</c:v>
                </c:pt>
                <c:pt idx="78">
                  <c:v>1.0686880852264546E-4</c:v>
                </c:pt>
                <c:pt idx="79">
                  <c:v>9.208515866204193E-5</c:v>
                </c:pt>
                <c:pt idx="80">
                  <c:v>7.9354818884694658E-5</c:v>
                </c:pt>
                <c:pt idx="81">
                  <c:v>6.8392791161703593E-5</c:v>
                </c:pt>
                <c:pt idx="82">
                  <c:v>5.895335686148273E-5</c:v>
                </c:pt>
                <c:pt idx="83">
                  <c:v>5.0824751359653504E-5</c:v>
                </c:pt>
                <c:pt idx="84">
                  <c:v>4.3824538296761101E-5</c:v>
                </c:pt>
                <c:pt idx="85">
                  <c:v>3.7795596808465792E-5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8-EC4A-B8B3-7C10BBD66134}"/>
            </c:ext>
          </c:extLst>
        </c:ser>
        <c:ser>
          <c:idx val="2"/>
          <c:order val="2"/>
          <c:tx>
            <c:strRef>
              <c:f>Industrie!$D$7</c:f>
              <c:strCache>
                <c:ptCount val="1"/>
                <c:pt idx="0">
                  <c:v>Mischung 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Industrie!$A$8:$A$93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Industrie!$D$8:$D$93</c:f>
              <c:numCache>
                <c:formatCode>0.00</c:formatCode>
                <c:ptCount val="86"/>
                <c:pt idx="0">
                  <c:v>0</c:v>
                </c:pt>
                <c:pt idx="1">
                  <c:v>4.8967149304477085E-29</c:v>
                </c:pt>
                <c:pt idx="2">
                  <c:v>4.0356403506618916E-19</c:v>
                </c:pt>
                <c:pt idx="3">
                  <c:v>2.1460972872042198E-14</c:v>
                </c:pt>
                <c:pt idx="4">
                  <c:v>1.5977058924189606E-11</c:v>
                </c:pt>
                <c:pt idx="5">
                  <c:v>1.4323590197924159E-9</c:v>
                </c:pt>
                <c:pt idx="6">
                  <c:v>3.7414773722332451E-8</c:v>
                </c:pt>
                <c:pt idx="7">
                  <c:v>4.4253656886149506E-7</c:v>
                </c:pt>
                <c:pt idx="8">
                  <c:v>3.0384910762907365E-6</c:v>
                </c:pt>
                <c:pt idx="9">
                  <c:v>1.4101610896990169E-5</c:v>
                </c:pt>
                <c:pt idx="10">
                  <c:v>4.8848072918164349E-5</c:v>
                </c:pt>
                <c:pt idx="11">
                  <c:v>1.3514800839766031E-4</c:v>
                </c:pt>
                <c:pt idx="12">
                  <c:v>3.1333841375111586E-4</c:v>
                </c:pt>
                <c:pt idx="13">
                  <c:v>6.305318231639317E-4</c:v>
                </c:pt>
                <c:pt idx="14">
                  <c:v>1.1306323042089795E-3</c:v>
                </c:pt>
                <c:pt idx="15">
                  <c:v>1.8433734622407996E-3</c:v>
                </c:pt>
                <c:pt idx="16">
                  <c:v>2.7759857670438138E-3</c:v>
                </c:pt>
                <c:pt idx="17">
                  <c:v>3.9098511471369777E-3</c:v>
                </c:pt>
                <c:pt idx="18">
                  <c:v>5.2026881101617465E-3</c:v>
                </c:pt>
                <c:pt idx="19">
                  <c:v>6.595308268123907E-3</c:v>
                </c:pt>
                <c:pt idx="20">
                  <c:v>8.0211836814908805E-3</c:v>
                </c:pt>
                <c:pt idx="21">
                  <c:v>9.4169038866089173E-3</c:v>
                </c:pt>
                <c:pt idx="22">
                  <c:v>1.0731816220928076E-2</c:v>
                </c:pt>
                <c:pt idx="23">
                  <c:v>1.1935491939854718E-2</c:v>
                </c:pt>
                <c:pt idx="24">
                  <c:v>1.3022035183444025E-2</c:v>
                </c:pt>
                <c:pt idx="25">
                  <c:v>1.4010659030164019E-2</c:v>
                </c:pt>
                <c:pt idx="26">
                  <c:v>1.4942431773633877E-2</c:v>
                </c:pt>
                <c:pt idx="27">
                  <c:v>1.5873641469694888E-2</c:v>
                </c:pt>
                <c:pt idx="28">
                  <c:v>1.6866760998002508E-2</c:v>
                </c:pt>
                <c:pt idx="29">
                  <c:v>1.7980399367846629E-2</c:v>
                </c:pt>
                <c:pt idx="30">
                  <c:v>1.9259789329695087E-2</c:v>
                </c:pt>
                <c:pt idx="31">
                  <c:v>2.0729237552800341E-2</c:v>
                </c:pt>
                <c:pt idx="32">
                  <c:v>2.2387581126852414E-2</c:v>
                </c:pt>
                <c:pt idx="33">
                  <c:v>2.4207147562771418E-2</c:v>
                </c:pt>
                <c:pt idx="34">
                  <c:v>2.6136130593719692E-2</c:v>
                </c:pt>
                <c:pt idx="35">
                  <c:v>2.8103789694858369E-2</c:v>
                </c:pt>
                <c:pt idx="36">
                  <c:v>3.002754042170723E-2</c:v>
                </c:pt>
                <c:pt idx="37">
                  <c:v>3.1820860033877123E-2</c:v>
                </c:pt>
                <c:pt idx="38">
                  <c:v>3.3400977253486584E-2</c:v>
                </c:pt>
                <c:pt idx="39">
                  <c:v>3.4695502470386046E-2</c:v>
                </c:pt>
                <c:pt idx="40">
                  <c:v>3.564742556928438E-2</c:v>
                </c:pt>
                <c:pt idx="41">
                  <c:v>3.6218203057647322E-2</c:v>
                </c:pt>
                <c:pt idx="42">
                  <c:v>3.6388925594533057E-2</c:v>
                </c:pt>
                <c:pt idx="43">
                  <c:v>3.615976925458067E-2</c:v>
                </c:pt>
                <c:pt idx="44">
                  <c:v>3.5548074121329834E-2</c:v>
                </c:pt>
                <c:pt idx="45">
                  <c:v>3.4585461940115629E-2</c:v>
                </c:pt>
                <c:pt idx="46">
                  <c:v>3.3314410675695891E-2</c:v>
                </c:pt>
                <c:pt idx="47">
                  <c:v>3.1784663588774312E-2</c:v>
                </c:pt>
                <c:pt idx="48">
                  <c:v>3.0049781082979107E-2</c:v>
                </c:pt>
                <c:pt idx="49">
                  <c:v>2.8164060912261351E-2</c:v>
                </c:pt>
                <c:pt idx="50">
                  <c:v>2.6179969107717468E-2</c:v>
                </c:pt>
                <c:pt idx="51">
                  <c:v>2.4146149129990403E-2</c:v>
                </c:pt>
                <c:pt idx="52">
                  <c:v>2.210601553283335E-2</c:v>
                </c:pt>
                <c:pt idx="53">
                  <c:v>2.0096892958306103E-2</c:v>
                </c:pt>
                <c:pt idx="54">
                  <c:v>1.8149631346314525E-2</c:v>
                </c:pt>
                <c:pt idx="55">
                  <c:v>1.6288612058609882E-2</c:v>
                </c:pt>
                <c:pt idx="56">
                  <c:v>1.4532054587955933E-2</c:v>
                </c:pt>
                <c:pt idx="57">
                  <c:v>1.2892536776765271E-2</c:v>
                </c:pt>
                <c:pt idx="58">
                  <c:v>1.1377650261377983E-2</c:v>
                </c:pt>
                <c:pt idx="59">
                  <c:v>9.9907248084955286E-3</c:v>
                </c:pt>
                <c:pt idx="60">
                  <c:v>8.7315684180682938E-3</c:v>
                </c:pt>
                <c:pt idx="61">
                  <c:v>7.5971831318794852E-3</c:v>
                </c:pt>
                <c:pt idx="62">
                  <c:v>6.5824284715196545E-3</c:v>
                </c:pt>
                <c:pt idx="63">
                  <c:v>5.6806147869930112E-3</c:v>
                </c:pt>
                <c:pt idx="64">
                  <c:v>4.8840172882251816E-3</c:v>
                </c:pt>
                <c:pt idx="65">
                  <c:v>4.1843081396592072E-3</c:v>
                </c:pt>
                <c:pt idx="66">
                  <c:v>3.572908854737471E-3</c:v>
                </c:pt>
                <c:pt idx="67">
                  <c:v>3.0412685510453033E-3</c:v>
                </c:pt>
                <c:pt idx="68">
                  <c:v>2.5810756765571787E-3</c:v>
                </c:pt>
                <c:pt idx="69">
                  <c:v>2.1844118569285271E-3</c:v>
                </c:pt>
                <c:pt idx="70">
                  <c:v>1.843856790877579E-3</c:v>
                </c:pt>
                <c:pt idx="71">
                  <c:v>1.5525528538288616E-3</c:v>
                </c:pt>
                <c:pt idx="72">
                  <c:v>1.3042374422711446E-3</c:v>
                </c:pt>
                <c:pt idx="73">
                  <c:v>1.0932502494995651E-3</c:v>
                </c:pt>
                <c:pt idx="74">
                  <c:v>9.1452172011544802E-4</c:v>
                </c:pt>
                <c:pt idx="75">
                  <c:v>7.6354796812749608E-4</c:v>
                </c:pt>
                <c:pt idx="76">
                  <c:v>6.363565185201832E-4</c:v>
                </c:pt>
                <c:pt idx="77">
                  <c:v>5.2946638095841415E-4</c:v>
                </c:pt>
                <c:pt idx="78">
                  <c:v>4.3984520718916102E-4</c:v>
                </c:pt>
                <c:pt idx="79">
                  <c:v>3.6486562918127606E-4</c:v>
                </c:pt>
                <c:pt idx="80">
                  <c:v>3.0226232326057372E-4</c:v>
                </c:pt>
                <c:pt idx="81">
                  <c:v>2.5009089104826166E-4</c:v>
                </c:pt>
                <c:pt idx="82">
                  <c:v>2.0668928212690276E-4</c:v>
                </c:pt>
                <c:pt idx="83">
                  <c:v>1.7064219553180362E-4</c:v>
                </c:pt>
                <c:pt idx="84">
                  <c:v>1.4074867632717997E-4</c:v>
                </c:pt>
                <c:pt idx="85">
                  <c:v>1.1599295883861732E-4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18-EC4A-B8B3-7C10BBD66134}"/>
            </c:ext>
          </c:extLst>
        </c:ser>
        <c:ser>
          <c:idx val="3"/>
          <c:order val="3"/>
          <c:tx>
            <c:strRef>
              <c:f>Industrie!$E$7</c:f>
              <c:strCache>
                <c:ptCount val="1"/>
                <c:pt idx="0">
                  <c:v>Normiert f_norm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Industrie!$A$8:$A$93</c:f>
              <c:numCache>
                <c:formatCode>0.00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cat>
          <c:val>
            <c:numRef>
              <c:f>Industrie!$E$8:$E$93</c:f>
              <c:numCache>
                <c:formatCode>0.00</c:formatCode>
                <c:ptCount val="86"/>
                <c:pt idx="0">
                  <c:v>0</c:v>
                </c:pt>
                <c:pt idx="1">
                  <c:v>4.8993462169334749E-29</c:v>
                </c:pt>
                <c:pt idx="2">
                  <c:v>4.0378089322654644E-19</c:v>
                </c:pt>
                <c:pt idx="3">
                  <c:v>2.1472505086739538E-14</c:v>
                </c:pt>
                <c:pt idx="4">
                  <c:v>1.5985644316606081E-11</c:v>
                </c:pt>
                <c:pt idx="5">
                  <c:v>1.4331287086522083E-9</c:v>
                </c:pt>
                <c:pt idx="6">
                  <c:v>3.7434878831545855E-8</c:v>
                </c:pt>
                <c:pt idx="7">
                  <c:v>4.4277436920512179E-7</c:v>
                </c:pt>
                <c:pt idx="8">
                  <c:v>3.0401238322546278E-6</c:v>
                </c:pt>
                <c:pt idx="9">
                  <c:v>1.4109188503346231E-5</c:v>
                </c:pt>
                <c:pt idx="10">
                  <c:v>4.8874321796432932E-5</c:v>
                </c:pt>
                <c:pt idx="11">
                  <c:v>1.3522063119337664E-4</c:v>
                </c:pt>
                <c:pt idx="12">
                  <c:v>3.1350678849730501E-4</c:v>
                </c:pt>
                <c:pt idx="13">
                  <c:v>6.3087064416713539E-4</c:v>
                </c:pt>
                <c:pt idx="14">
                  <c:v>1.1312398579556634E-3</c:v>
                </c:pt>
                <c:pt idx="15">
                  <c:v>1.8443640127932229E-3</c:v>
                </c:pt>
                <c:pt idx="16">
                  <c:v>2.7774774638113921E-3</c:v>
                </c:pt>
                <c:pt idx="17">
                  <c:v>3.9119521349688094E-3</c:v>
                </c:pt>
                <c:pt idx="18">
                  <c:v>5.2054838136299641E-3</c:v>
                </c:pt>
                <c:pt idx="19">
                  <c:v>6.5988523064765313E-3</c:v>
                </c:pt>
                <c:pt idx="20">
                  <c:v>8.0254939246887681E-3</c:v>
                </c:pt>
                <c:pt idx="21">
                  <c:v>9.4219641305247973E-3</c:v>
                </c:pt>
                <c:pt idx="22">
                  <c:v>1.0737583042846638E-2</c:v>
                </c:pt>
                <c:pt idx="23">
                  <c:v>1.1941905565946575E-2</c:v>
                </c:pt>
                <c:pt idx="24">
                  <c:v>1.3029032671695242E-2</c:v>
                </c:pt>
                <c:pt idx="25">
                  <c:v>1.4018187762852441E-2</c:v>
                </c:pt>
                <c:pt idx="26">
                  <c:v>1.4950461201392876E-2</c:v>
                </c:pt>
                <c:pt idx="27">
                  <c:v>1.5882171289966718E-2</c:v>
                </c:pt>
                <c:pt idx="28">
                  <c:v>1.6875824478499755E-2</c:v>
                </c:pt>
                <c:pt idx="29">
                  <c:v>1.79900612702725E-2</c:v>
                </c:pt>
                <c:pt idx="30">
                  <c:v>1.927013872191043E-2</c:v>
                </c:pt>
                <c:pt idx="31">
                  <c:v>2.0740376564036989E-2</c:v>
                </c:pt>
                <c:pt idx="32">
                  <c:v>2.2399611261443627E-2</c:v>
                </c:pt>
                <c:pt idx="33">
                  <c:v>2.4220155455030944E-2</c:v>
                </c:pt>
                <c:pt idx="34">
                  <c:v>2.6150175039475327E-2</c:v>
                </c:pt>
                <c:pt idx="35">
                  <c:v>2.811889147698644E-2</c:v>
                </c:pt>
                <c:pt idx="36">
                  <c:v>3.0043675945713569E-2</c:v>
                </c:pt>
                <c:pt idx="37">
                  <c:v>3.1837959211624224E-2</c:v>
                </c:pt>
                <c:pt idx="38">
                  <c:v>3.3418925519070108E-2</c:v>
                </c:pt>
                <c:pt idx="39">
                  <c:v>3.4714146358801837E-2</c:v>
                </c:pt>
                <c:pt idx="40">
                  <c:v>3.5666580980715332E-2</c:v>
                </c:pt>
                <c:pt idx="41">
                  <c:v>3.6237665180641608E-2</c:v>
                </c:pt>
                <c:pt idx="42">
                  <c:v>3.6408479456562698E-2</c:v>
                </c:pt>
                <c:pt idx="43">
                  <c:v>3.6179199977732709E-2</c:v>
                </c:pt>
                <c:pt idx="44">
                  <c:v>3.5567176145515245E-2</c:v>
                </c:pt>
                <c:pt idx="45">
                  <c:v>3.4604046697427338E-2</c:v>
                </c:pt>
                <c:pt idx="46">
                  <c:v>3.3332312424079719E-2</c:v>
                </c:pt>
                <c:pt idx="47">
                  <c:v>3.1801743316090217E-2</c:v>
                </c:pt>
                <c:pt idx="48">
                  <c:v>3.0065928558171549E-2</c:v>
                </c:pt>
                <c:pt idx="49">
                  <c:v>2.8179195081580035E-2</c:v>
                </c:pt>
                <c:pt idx="50">
                  <c:v>2.619403711042732E-2</c:v>
                </c:pt>
                <c:pt idx="51">
                  <c:v>2.4159124244284676E-2</c:v>
                </c:pt>
                <c:pt idx="52">
                  <c:v>2.2117894366041304E-2</c:v>
                </c:pt>
                <c:pt idx="53">
                  <c:v>2.010769217443328E-2</c:v>
                </c:pt>
                <c:pt idx="54">
                  <c:v>1.8159384186813007E-2</c:v>
                </c:pt>
                <c:pt idx="55">
                  <c:v>1.6297364866439311E-2</c:v>
                </c:pt>
                <c:pt idx="56">
                  <c:v>1.4539863496457006E-2</c:v>
                </c:pt>
                <c:pt idx="57">
                  <c:v>1.2899464678076619E-2</c:v>
                </c:pt>
                <c:pt idx="58">
                  <c:v>1.138376412706095E-2</c:v>
                </c:pt>
                <c:pt idx="59">
                  <c:v>9.9960933993865648E-3</c:v>
                </c:pt>
                <c:pt idx="60">
                  <c:v>8.736260391831183E-3</c:v>
                </c:pt>
                <c:pt idx="61">
                  <c:v>7.6012655352026819E-3</c:v>
                </c:pt>
                <c:pt idx="62">
                  <c:v>6.5859655888169952E-3</c:v>
                </c:pt>
                <c:pt idx="63">
                  <c:v>5.6836673079447451E-3</c:v>
                </c:pt>
                <c:pt idx="64">
                  <c:v>4.8866417515376868E-3</c:v>
                </c:pt>
                <c:pt idx="65">
                  <c:v>4.1865566090139791E-3</c:v>
                </c:pt>
                <c:pt idx="66">
                  <c:v>3.5748287841019287E-3</c:v>
                </c:pt>
                <c:pt idx="67">
                  <c:v>3.0429027995060808E-3</c:v>
                </c:pt>
                <c:pt idx="68">
                  <c:v>2.5824626369261058E-3</c:v>
                </c:pt>
                <c:pt idx="69">
                  <c:v>2.1855856670196035E-3</c:v>
                </c:pt>
                <c:pt idx="70">
                  <c:v>1.8448476011502695E-3</c:v>
                </c:pt>
                <c:pt idx="71">
                  <c:v>1.5533871297466438E-3</c:v>
                </c:pt>
                <c:pt idx="72">
                  <c:v>1.3049382840405396E-3</c:v>
                </c:pt>
                <c:pt idx="73">
                  <c:v>1.0938377157188423E-3</c:v>
                </c:pt>
                <c:pt idx="74">
                  <c:v>9.1501314521926945E-4</c:v>
                </c:pt>
                <c:pt idx="75">
                  <c:v>7.639582663536141E-4</c:v>
                </c:pt>
                <c:pt idx="76">
                  <c:v>6.3669846946711286E-4</c:v>
                </c:pt>
                <c:pt idx="77">
                  <c:v>5.2975089368841207E-4</c:v>
                </c:pt>
                <c:pt idx="78">
                  <c:v>4.4008156130941203E-4</c:v>
                </c:pt>
                <c:pt idx="79">
                  <c:v>3.6506169246305209E-4</c:v>
                </c:pt>
                <c:pt idx="80">
                  <c:v>3.02424746186484E-4</c:v>
                </c:pt>
                <c:pt idx="81">
                  <c:v>2.502252792638665E-4</c:v>
                </c:pt>
                <c:pt idx="82">
                  <c:v>2.0680034816250787E-4</c:v>
                </c:pt>
                <c:pt idx="83">
                  <c:v>1.7073389139512872E-4</c:v>
                </c:pt>
                <c:pt idx="84">
                  <c:v>1.4082430868380468E-4</c:v>
                </c:pt>
                <c:pt idx="85">
                  <c:v>1.1605528852481945E-4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18-EC4A-B8B3-7C10BBD66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217568"/>
        <c:axId val="681219280"/>
      </c:lineChart>
      <c:catAx>
        <c:axId val="68121756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1219280"/>
        <c:crosses val="autoZero"/>
        <c:auto val="1"/>
        <c:lblAlgn val="ctr"/>
        <c:lblOffset val="100"/>
        <c:noMultiLvlLbl val="0"/>
      </c:catAx>
      <c:valAx>
        <c:axId val="6812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121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14725</xdr:colOff>
      <xdr:row>7</xdr:row>
      <xdr:rowOff>45645</xdr:rowOff>
    </xdr:from>
    <xdr:to>
      <xdr:col>20</xdr:col>
      <xdr:colOff>2797680</xdr:colOff>
      <xdr:row>48</xdr:row>
      <xdr:rowOff>128841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C596820-B49E-6232-1DEB-A9346FA83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716491</xdr:colOff>
      <xdr:row>6</xdr:row>
      <xdr:rowOff>43390</xdr:rowOff>
    </xdr:from>
    <xdr:to>
      <xdr:col>20</xdr:col>
      <xdr:colOff>4035425</xdr:colOff>
      <xdr:row>55</xdr:row>
      <xdr:rowOff>200024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EB55821-75F1-68D5-AC91-B0F00CD28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931333</xdr:colOff>
      <xdr:row>6</xdr:row>
      <xdr:rowOff>16933</xdr:rowOff>
    </xdr:from>
    <xdr:to>
      <xdr:col>20</xdr:col>
      <xdr:colOff>3708399</xdr:colOff>
      <xdr:row>55</xdr:row>
      <xdr:rowOff>186267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3EECE57-598E-FAD4-3507-1F14998B2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5236</xdr:colOff>
      <xdr:row>6</xdr:row>
      <xdr:rowOff>29329</xdr:rowOff>
    </xdr:from>
    <xdr:to>
      <xdr:col>20</xdr:col>
      <xdr:colOff>615360</xdr:colOff>
      <xdr:row>39</xdr:row>
      <xdr:rowOff>170206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B8B1904-73B1-8423-0542-5CB75F7B0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42332</xdr:colOff>
      <xdr:row>6</xdr:row>
      <xdr:rowOff>40217</xdr:rowOff>
    </xdr:from>
    <xdr:to>
      <xdr:col>20</xdr:col>
      <xdr:colOff>1083732</xdr:colOff>
      <xdr:row>56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4D861CD-7D72-5F7D-9BAA-2E6B1AD59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C796-58DC-FB42-888D-2291A12CCFCD}">
  <dimension ref="A1:V94"/>
  <sheetViews>
    <sheetView zoomScale="75" zoomScaleNormal="92" workbookViewId="0">
      <selection activeCell="C98" sqref="C98"/>
    </sheetView>
  </sheetViews>
  <sheetFormatPr baseColWidth="10" defaultColWidth="8.83203125" defaultRowHeight="15"/>
  <cols>
    <col min="1" max="1" width="13.33203125" customWidth="1"/>
    <col min="2" max="3" width="16" customWidth="1"/>
    <col min="4" max="4" width="11.83203125" bestFit="1" customWidth="1"/>
    <col min="5" max="5" width="13.1640625" customWidth="1"/>
    <col min="6" max="6" width="12.83203125" customWidth="1"/>
    <col min="7" max="7" width="14" customWidth="1"/>
    <col min="9" max="9" width="13.1640625" customWidth="1"/>
    <col min="20" max="20" width="5.33203125" bestFit="1" customWidth="1"/>
    <col min="21" max="21" width="54.1640625" bestFit="1" customWidth="1"/>
  </cols>
  <sheetData>
    <row r="1" spans="1:22" ht="19" thickBot="1">
      <c r="A1" s="18" t="s">
        <v>10</v>
      </c>
      <c r="B1" s="19"/>
      <c r="C1" s="19"/>
      <c r="D1" s="19"/>
      <c r="E1" s="19"/>
      <c r="J1" t="s">
        <v>19</v>
      </c>
      <c r="T1" s="20" t="s">
        <v>5</v>
      </c>
      <c r="U1" s="21"/>
      <c r="V1" s="6"/>
    </row>
    <row r="2" spans="1:22" ht="18">
      <c r="A2" t="s">
        <v>11</v>
      </c>
      <c r="B2" s="4">
        <f>LN(J2)</f>
        <v>3.912023005428146</v>
      </c>
      <c r="C2" t="s">
        <v>13</v>
      </c>
      <c r="D2" s="5">
        <f>LN(J3)</f>
        <v>2.9957322735539909</v>
      </c>
      <c r="E2" t="s">
        <v>22</v>
      </c>
      <c r="F2" s="4">
        <v>1</v>
      </c>
      <c r="I2" t="s">
        <v>17</v>
      </c>
      <c r="J2">
        <v>50</v>
      </c>
      <c r="K2" s="17"/>
      <c r="L2" s="3"/>
      <c r="T2" s="7">
        <v>0.2</v>
      </c>
      <c r="U2" s="8" t="s">
        <v>6</v>
      </c>
      <c r="V2" s="6"/>
    </row>
    <row r="3" spans="1:22" ht="18">
      <c r="A3" t="s">
        <v>12</v>
      </c>
      <c r="B3" s="4">
        <v>0.4</v>
      </c>
      <c r="C3" t="s">
        <v>14</v>
      </c>
      <c r="D3" s="4">
        <v>0.2</v>
      </c>
      <c r="F3" s="4"/>
      <c r="I3" t="s">
        <v>18</v>
      </c>
      <c r="J3">
        <v>20</v>
      </c>
      <c r="K3" s="17"/>
      <c r="L3" s="3">
        <f>J2*B4+J3*D4</f>
        <v>39.5</v>
      </c>
      <c r="M3" t="s">
        <v>23</v>
      </c>
      <c r="T3" s="7">
        <v>0.5</v>
      </c>
      <c r="U3" s="8" t="s">
        <v>7</v>
      </c>
      <c r="V3" s="6"/>
    </row>
    <row r="4" spans="1:22" ht="19" thickBot="1">
      <c r="A4" t="s">
        <v>0</v>
      </c>
      <c r="B4" s="4">
        <v>0.65</v>
      </c>
      <c r="C4" t="s">
        <v>1</v>
      </c>
      <c r="D4" s="4">
        <v>0.35</v>
      </c>
      <c r="E4" t="s">
        <v>21</v>
      </c>
      <c r="F4" s="4">
        <v>85</v>
      </c>
      <c r="M4" s="27" t="s">
        <v>24</v>
      </c>
      <c r="T4" s="9">
        <v>1</v>
      </c>
      <c r="U4" s="10" t="s">
        <v>8</v>
      </c>
      <c r="V4" s="6"/>
    </row>
    <row r="5" spans="1:22">
      <c r="A5" t="s">
        <v>2</v>
      </c>
      <c r="B5" s="4">
        <f>B4+D4</f>
        <v>1</v>
      </c>
      <c r="F5" s="4"/>
    </row>
    <row r="6" spans="1:22">
      <c r="A6" s="1"/>
    </row>
    <row r="7" spans="1:22" ht="16" thickBot="1">
      <c r="A7" s="2" t="s">
        <v>20</v>
      </c>
      <c r="B7" s="2" t="s">
        <v>15</v>
      </c>
      <c r="C7" s="2" t="s">
        <v>16</v>
      </c>
      <c r="D7" s="2" t="s">
        <v>3</v>
      </c>
      <c r="E7" s="2" t="s">
        <v>4</v>
      </c>
    </row>
    <row r="8" spans="1:22">
      <c r="A8" s="13">
        <v>0</v>
      </c>
      <c r="B8" s="4">
        <f>IF(A8&gt;0,_xlfn.LOGNORM.DIST(A8,$B$2,$B$3,FALSE),0)</f>
        <v>0</v>
      </c>
      <c r="C8" s="4">
        <f>IF(A8&gt;0,_xlfn.LOGNORM.DIST(A8,$D$2,$D$3,FALSE),0)</f>
        <v>0</v>
      </c>
      <c r="D8" s="4">
        <f t="shared" ref="D8:D39" si="0">$B$4*B8 + $D$4*C8</f>
        <v>0</v>
      </c>
      <c r="E8" s="4">
        <f>IF($D$94&gt;0, D8/$D$94, 0)</f>
        <v>0</v>
      </c>
    </row>
    <row r="9" spans="1:22">
      <c r="A9" s="14">
        <f t="shared" ref="A9:A73" si="1">A8+$F$2</f>
        <v>1</v>
      </c>
      <c r="B9" s="4">
        <f>IF(A9&gt;0,_xlfn.LOGNORM.DIST(A9,$B$2,$B$3,FALSE),0)</f>
        <v>1.6936342556654523E-21</v>
      </c>
      <c r="C9" s="4">
        <f t="shared" ref="C9:C72" si="2">IF(A9&gt;0,_xlfn.LOGNORM.DIST(A9,$D$2,$D$3,FALSE),0)</f>
        <v>3.8076825549198946E-49</v>
      </c>
      <c r="D9" s="4">
        <f t="shared" si="0"/>
        <v>1.100862266182544E-21</v>
      </c>
      <c r="E9" s="4">
        <f t="shared" ref="E9:E72" si="3">IF($D$94&gt;0, D9/$D$94, 0)</f>
        <v>1.1691934098417567E-21</v>
      </c>
    </row>
    <row r="10" spans="1:22">
      <c r="A10" s="14">
        <f t="shared" si="1"/>
        <v>2</v>
      </c>
      <c r="B10" s="4">
        <f t="shared" ref="B9:B56" si="4">IF(A10&gt;0,_xlfn.LOGNORM.DIST(A10,$B$2,$B$3,FALSE),0)</f>
        <v>4.3247376875508896E-15</v>
      </c>
      <c r="C10" s="4">
        <f t="shared" si="2"/>
        <v>1.6464039981542604E-29</v>
      </c>
      <c r="D10" s="4">
        <f t="shared" si="0"/>
        <v>2.8110794969080841E-15</v>
      </c>
      <c r="E10" s="4">
        <f t="shared" si="3"/>
        <v>2.9855647916096489E-15</v>
      </c>
    </row>
    <row r="11" spans="1:22">
      <c r="A11" s="14">
        <f t="shared" si="1"/>
        <v>3</v>
      </c>
      <c r="B11" s="4">
        <f t="shared" si="4"/>
        <v>6.0165346842938083E-12</v>
      </c>
      <c r="C11" s="4">
        <f t="shared" si="2"/>
        <v>1.9256931623732499E-20</v>
      </c>
      <c r="D11" s="4">
        <f t="shared" si="0"/>
        <v>3.9107475515309016E-12</v>
      </c>
      <c r="E11" s="4">
        <f t="shared" si="3"/>
        <v>4.1534898645045585E-12</v>
      </c>
    </row>
    <row r="12" spans="1:22">
      <c r="A12" s="14">
        <f t="shared" si="1"/>
        <v>4</v>
      </c>
      <c r="B12" s="4">
        <f t="shared" si="4"/>
        <v>5.4826034231712107E-10</v>
      </c>
      <c r="C12" s="4">
        <f t="shared" si="2"/>
        <v>4.3247376875508896E-15</v>
      </c>
      <c r="D12" s="4">
        <f t="shared" si="0"/>
        <v>3.5637073616431937E-10</v>
      </c>
      <c r="E12" s="4">
        <f t="shared" si="3"/>
        <v>3.78490869369744E-10</v>
      </c>
    </row>
    <row r="13" spans="1:22">
      <c r="A13" s="14">
        <f t="shared" si="1"/>
        <v>5</v>
      </c>
      <c r="B13" s="4">
        <f t="shared" si="4"/>
        <v>1.2714569338325931E-8</v>
      </c>
      <c r="C13" s="4">
        <f t="shared" si="2"/>
        <v>1.4723309037990602E-11</v>
      </c>
      <c r="D13" s="4">
        <f t="shared" si="0"/>
        <v>8.2696232280751531E-9</v>
      </c>
      <c r="E13" s="4">
        <f t="shared" si="3"/>
        <v>8.7829234202641966E-9</v>
      </c>
    </row>
    <row r="14" spans="1:22">
      <c r="A14" s="14">
        <f t="shared" si="1"/>
        <v>6</v>
      </c>
      <c r="B14" s="4">
        <f t="shared" si="4"/>
        <v>1.3167891466795224E-7</v>
      </c>
      <c r="C14" s="4">
        <f t="shared" si="2"/>
        <v>4.4934659365940978E-9</v>
      </c>
      <c r="D14" s="4">
        <f t="shared" si="0"/>
        <v>8.7164007611976895E-8</v>
      </c>
      <c r="E14" s="4">
        <f t="shared" si="3"/>
        <v>9.2574326876257209E-8</v>
      </c>
    </row>
    <row r="15" spans="1:22">
      <c r="A15" s="14">
        <f t="shared" si="1"/>
        <v>7</v>
      </c>
      <c r="B15" s="4">
        <f t="shared" si="4"/>
        <v>8.081184336486286E-7</v>
      </c>
      <c r="C15" s="4">
        <f t="shared" si="2"/>
        <v>2.9627080076406293E-7</v>
      </c>
      <c r="D15" s="4">
        <f t="shared" si="0"/>
        <v>6.289717621390306E-7</v>
      </c>
      <c r="E15" s="4">
        <f t="shared" si="3"/>
        <v>6.6801239524688169E-7</v>
      </c>
    </row>
    <row r="16" spans="1:22">
      <c r="A16" s="14">
        <f t="shared" si="1"/>
        <v>8</v>
      </c>
      <c r="B16" s="4">
        <f t="shared" si="4"/>
        <v>3.4506492387134001E-6</v>
      </c>
      <c r="C16" s="4">
        <f t="shared" si="2"/>
        <v>6.9012984774268002E-6</v>
      </c>
      <c r="D16" s="4">
        <f t="shared" si="0"/>
        <v>4.6583764722630896E-6</v>
      </c>
      <c r="E16" s="4">
        <f t="shared" si="3"/>
        <v>4.9475245353070844E-6</v>
      </c>
    </row>
    <row r="17" spans="1:5">
      <c r="A17" s="14">
        <f t="shared" si="1"/>
        <v>9</v>
      </c>
      <c r="B17" s="4">
        <f t="shared" si="4"/>
        <v>1.1318861870154263E-5</v>
      </c>
      <c r="C17" s="4">
        <f t="shared" si="2"/>
        <v>7.6600499557972427E-5</v>
      </c>
      <c r="D17" s="4">
        <f t="shared" si="0"/>
        <v>3.416743506089062E-5</v>
      </c>
      <c r="E17" s="4">
        <f t="shared" si="3"/>
        <v>3.6288227084863401E-5</v>
      </c>
    </row>
    <row r="18" spans="1:5">
      <c r="A18" s="14">
        <f t="shared" si="1"/>
        <v>10</v>
      </c>
      <c r="B18" s="4">
        <f t="shared" si="4"/>
        <v>3.0435819336616117E-5</v>
      </c>
      <c r="C18" s="4">
        <f t="shared" si="2"/>
        <v>4.9164758551080228E-4</v>
      </c>
      <c r="D18" s="4">
        <f t="shared" si="0"/>
        <v>1.9185993749758126E-4</v>
      </c>
      <c r="E18" s="4">
        <f t="shared" si="3"/>
        <v>2.0376879236010307E-4</v>
      </c>
    </row>
    <row r="19" spans="1:5">
      <c r="A19" s="14">
        <f t="shared" si="1"/>
        <v>11</v>
      </c>
      <c r="B19" s="4">
        <f t="shared" si="4"/>
        <v>7.0150733512672434E-5</v>
      </c>
      <c r="C19" s="4">
        <f t="shared" si="2"/>
        <v>2.0807863850683156E-3</v>
      </c>
      <c r="D19" s="4">
        <f t="shared" si="0"/>
        <v>7.7387321155714746E-4</v>
      </c>
      <c r="E19" s="4">
        <f t="shared" si="3"/>
        <v>8.2190795960632732E-4</v>
      </c>
    </row>
    <row r="20" spans="1:5">
      <c r="A20" s="14">
        <f t="shared" si="1"/>
        <v>12</v>
      </c>
      <c r="B20" s="4">
        <f t="shared" si="4"/>
        <v>1.4307803670993803E-4</v>
      </c>
      <c r="C20" s="4">
        <f t="shared" si="2"/>
        <v>6.3697663217317253E-3</v>
      </c>
      <c r="D20" s="4">
        <f t="shared" si="0"/>
        <v>2.3224189364675634E-3</v>
      </c>
      <c r="E20" s="4">
        <f t="shared" si="3"/>
        <v>2.4665727937297818E-3</v>
      </c>
    </row>
    <row r="21" spans="1:5">
      <c r="A21" s="14">
        <f t="shared" si="1"/>
        <v>13</v>
      </c>
      <c r="B21" s="4">
        <f t="shared" si="4"/>
        <v>2.64347687138425E-4</v>
      </c>
      <c r="C21" s="4">
        <f t="shared" si="2"/>
        <v>1.5083950394687384E-2</v>
      </c>
      <c r="D21" s="4">
        <f t="shared" si="0"/>
        <v>5.4512086347805596E-3</v>
      </c>
      <c r="E21" s="4">
        <f t="shared" si="3"/>
        <v>5.7895682386856001E-3</v>
      </c>
    </row>
    <row r="22" spans="1:5">
      <c r="A22" s="14">
        <f t="shared" si="1"/>
        <v>14</v>
      </c>
      <c r="B22" s="4">
        <f t="shared" si="4"/>
        <v>4.5030511671725887E-4</v>
      </c>
      <c r="C22" s="4">
        <f t="shared" si="2"/>
        <v>2.9049016670574555E-2</v>
      </c>
      <c r="D22" s="4">
        <f t="shared" si="0"/>
        <v>1.0459854160567312E-2</v>
      </c>
      <c r="E22" s="4">
        <f t="shared" si="3"/>
        <v>1.1109103225828327E-2</v>
      </c>
    </row>
    <row r="23" spans="1:5">
      <c r="A23" s="14">
        <f t="shared" si="1"/>
        <v>15</v>
      </c>
      <c r="B23" s="4">
        <f t="shared" si="4"/>
        <v>7.169221093998421E-4</v>
      </c>
      <c r="C23" s="4">
        <f t="shared" si="2"/>
        <v>4.726132330909831E-2</v>
      </c>
      <c r="D23" s="4">
        <f t="shared" si="0"/>
        <v>1.7007462529294304E-2</v>
      </c>
      <c r="E23" s="4">
        <f t="shared" si="3"/>
        <v>1.8063125350219061E-2</v>
      </c>
    </row>
    <row r="24" spans="1:5">
      <c r="A24" s="14">
        <f t="shared" si="1"/>
        <v>16</v>
      </c>
      <c r="B24" s="4">
        <f t="shared" si="4"/>
        <v>1.0782059339421442E-3</v>
      </c>
      <c r="C24" s="4">
        <f t="shared" si="2"/>
        <v>6.6903606855092876E-2</v>
      </c>
      <c r="D24" s="4">
        <f t="shared" si="0"/>
        <v>2.4117096256344901E-2</v>
      </c>
      <c r="E24" s="4">
        <f t="shared" si="3"/>
        <v>2.5614058064882449E-2</v>
      </c>
    </row>
    <row r="25" spans="1:5">
      <c r="A25" s="14">
        <f t="shared" si="1"/>
        <v>17</v>
      </c>
      <c r="B25" s="4">
        <f t="shared" si="4"/>
        <v>1.5448464055177863E-3</v>
      </c>
      <c r="C25" s="4">
        <f t="shared" si="2"/>
        <v>8.434253321298027E-2</v>
      </c>
      <c r="D25" s="4">
        <f t="shared" si="0"/>
        <v>3.0524036788129653E-2</v>
      </c>
      <c r="E25" s="4">
        <f t="shared" si="3"/>
        <v>3.2418681020111098E-2</v>
      </c>
    </row>
    <row r="26" spans="1:5">
      <c r="A26" s="14">
        <f t="shared" si="1"/>
        <v>18</v>
      </c>
      <c r="B26" s="4">
        <f t="shared" si="4"/>
        <v>2.123255440577238E-3</v>
      </c>
      <c r="C26" s="4">
        <f t="shared" si="2"/>
        <v>9.6459421958288522E-2</v>
      </c>
      <c r="D26" s="4">
        <f t="shared" si="0"/>
        <v>3.5140913721776183E-2</v>
      </c>
      <c r="E26" s="4">
        <f t="shared" si="3"/>
        <v>3.7322130116961914E-2</v>
      </c>
    </row>
    <row r="27" spans="1:5">
      <c r="A27" s="14">
        <f t="shared" si="1"/>
        <v>19</v>
      </c>
      <c r="B27" s="4">
        <f t="shared" si="4"/>
        <v>2.8150628801412213E-3</v>
      </c>
      <c r="C27" s="4">
        <f t="shared" si="2"/>
        <v>0.10158827789419432</v>
      </c>
      <c r="D27" s="4">
        <f t="shared" si="0"/>
        <v>3.7385688135059804E-2</v>
      </c>
      <c r="E27" s="4">
        <f t="shared" si="3"/>
        <v>3.9706238948027439E-2</v>
      </c>
    </row>
    <row r="28" spans="1:5">
      <c r="A28" s="14">
        <f t="shared" si="1"/>
        <v>20</v>
      </c>
      <c r="B28" s="4">
        <f t="shared" si="4"/>
        <v>3.6170562339630217E-3</v>
      </c>
      <c r="C28" s="4">
        <f t="shared" si="2"/>
        <v>9.9735570100358148E-2</v>
      </c>
      <c r="D28" s="4">
        <f t="shared" si="0"/>
        <v>3.725853608720131E-2</v>
      </c>
      <c r="E28" s="4">
        <f t="shared" si="3"/>
        <v>3.9571194500623894E-2</v>
      </c>
    </row>
    <row r="29" spans="1:5">
      <c r="A29" s="14">
        <f t="shared" si="1"/>
        <v>21</v>
      </c>
      <c r="B29" s="4">
        <f t="shared" si="4"/>
        <v>4.5214994730406743E-3</v>
      </c>
      <c r="C29" s="4">
        <f t="shared" si="2"/>
        <v>9.2201483365140863E-2</v>
      </c>
      <c r="D29" s="4">
        <f t="shared" si="0"/>
        <v>3.5209493835275739E-2</v>
      </c>
      <c r="E29" s="4">
        <f t="shared" si="3"/>
        <v>3.7394967036904619E-2</v>
      </c>
    </row>
    <row r="30" spans="1:5">
      <c r="A30" s="14">
        <f t="shared" si="1"/>
        <v>22</v>
      </c>
      <c r="B30" s="4">
        <f t="shared" si="4"/>
        <v>5.5167377060576523E-3</v>
      </c>
      <c r="C30" s="4">
        <f t="shared" si="2"/>
        <v>8.0936251409499629E-2</v>
      </c>
      <c r="D30" s="4">
        <f t="shared" si="0"/>
        <v>3.191356750226234E-2</v>
      </c>
      <c r="E30" s="4">
        <f t="shared" si="3"/>
        <v>3.3894460691777359E-2</v>
      </c>
    </row>
    <row r="31" spans="1:5">
      <c r="A31" s="14">
        <f t="shared" si="1"/>
        <v>23</v>
      </c>
      <c r="B31" s="4">
        <f t="shared" si="4"/>
        <v>6.5879864717512237E-3</v>
      </c>
      <c r="C31" s="4">
        <f t="shared" si="2"/>
        <v>6.793782410986611E-2</v>
      </c>
      <c r="D31" s="4">
        <f t="shared" si="0"/>
        <v>2.8060429645091433E-2</v>
      </c>
      <c r="E31" s="4">
        <f t="shared" si="3"/>
        <v>2.9802156387953586E-2</v>
      </c>
    </row>
    <row r="32" spans="1:5">
      <c r="A32" s="14">
        <f t="shared" si="1"/>
        <v>24</v>
      </c>
      <c r="B32" s="4">
        <f t="shared" si="4"/>
        <v>7.7182106312504778E-3</v>
      </c>
      <c r="C32" s="4">
        <f t="shared" si="2"/>
        <v>5.4854622143441598E-2</v>
      </c>
      <c r="D32" s="4">
        <f t="shared" si="0"/>
        <v>2.4215954660517368E-2</v>
      </c>
      <c r="E32" s="4">
        <f t="shared" si="3"/>
        <v>2.5719052666129644E-2</v>
      </c>
    </row>
    <row r="33" spans="1:5">
      <c r="A33" s="14">
        <f t="shared" si="1"/>
        <v>25</v>
      </c>
      <c r="B33" s="4">
        <f t="shared" si="4"/>
        <v>8.8890126848742909E-3</v>
      </c>
      <c r="C33" s="4">
        <f t="shared" si="2"/>
        <v>4.2818308387259439E-2</v>
      </c>
      <c r="D33" s="4">
        <f t="shared" si="0"/>
        <v>2.0764266180709093E-2</v>
      </c>
      <c r="E33" s="4">
        <f t="shared" si="3"/>
        <v>2.2053115929635717E-2</v>
      </c>
    </row>
    <row r="34" spans="1:5">
      <c r="A34" s="14">
        <f t="shared" si="1"/>
        <v>26</v>
      </c>
      <c r="B34" s="4">
        <f t="shared" si="4"/>
        <v>1.0081469010649781E-2</v>
      </c>
      <c r="C34" s="4">
        <f t="shared" si="2"/>
        <v>3.2450651802775156E-2</v>
      </c>
      <c r="D34" s="4">
        <f t="shared" si="0"/>
        <v>1.791068298789366E-2</v>
      </c>
      <c r="E34" s="4">
        <f t="shared" si="3"/>
        <v>1.9022409213667883E-2</v>
      </c>
    </row>
    <row r="35" spans="1:5">
      <c r="A35" s="14">
        <f t="shared" si="1"/>
        <v>27</v>
      </c>
      <c r="B35" s="4">
        <f t="shared" si="4"/>
        <v>1.1276871593375315E-2</v>
      </c>
      <c r="C35" s="4">
        <f t="shared" si="2"/>
        <v>2.3965929368098816E-2</v>
      </c>
      <c r="D35" s="4">
        <f t="shared" si="0"/>
        <v>1.571804181452854E-2</v>
      </c>
      <c r="E35" s="4">
        <f t="shared" si="3"/>
        <v>1.6693669562216247E-2</v>
      </c>
    </row>
    <row r="36" spans="1:5">
      <c r="A36" s="14">
        <f t="shared" si="1"/>
        <v>28</v>
      </c>
      <c r="B36" s="4">
        <f t="shared" si="4"/>
        <v>1.2457350113023645E-2</v>
      </c>
      <c r="C36" s="4">
        <f t="shared" si="2"/>
        <v>1.7303011695981179E-2</v>
      </c>
      <c r="D36" s="4">
        <f t="shared" si="0"/>
        <v>1.4153331667058781E-2</v>
      </c>
      <c r="E36" s="4">
        <f t="shared" si="3"/>
        <v>1.5031836970680399E-2</v>
      </c>
    </row>
    <row r="37" spans="1:5">
      <c r="A37" s="14">
        <f t="shared" si="1"/>
        <v>29</v>
      </c>
      <c r="B37" s="4">
        <f t="shared" si="4"/>
        <v>1.3606363649567129E-2</v>
      </c>
      <c r="C37" s="4">
        <f t="shared" si="2"/>
        <v>1.2246196174040181E-2</v>
      </c>
      <c r="D37" s="4">
        <f t="shared" si="0"/>
        <v>1.3130305033132696E-2</v>
      </c>
      <c r="E37" s="4">
        <f t="shared" si="3"/>
        <v>1.3945310494823667E-2</v>
      </c>
    </row>
    <row r="38" spans="1:5">
      <c r="A38" s="14">
        <f t="shared" si="1"/>
        <v>30</v>
      </c>
      <c r="B38" s="4">
        <f t="shared" si="4"/>
        <v>1.4709062347575373E-2</v>
      </c>
      <c r="C38" s="4">
        <f t="shared" si="2"/>
        <v>8.5167333090199488E-3</v>
      </c>
      <c r="D38" s="4">
        <f t="shared" si="0"/>
        <v>1.2541747184080975E-2</v>
      </c>
      <c r="E38" s="4">
        <f t="shared" si="3"/>
        <v>1.3320220527113024E-2</v>
      </c>
    </row>
    <row r="39" spans="1:5">
      <c r="A39" s="14">
        <f t="shared" si="1"/>
        <v>31</v>
      </c>
      <c r="B39" s="4">
        <f t="shared" si="4"/>
        <v>1.5752527267756292E-2</v>
      </c>
      <c r="C39" s="4">
        <f t="shared" si="2"/>
        <v>5.832379984392521E-3</v>
      </c>
      <c r="D39" s="4">
        <f t="shared" si="0"/>
        <v>1.2280475718578973E-2</v>
      </c>
      <c r="E39" s="4">
        <f t="shared" si="3"/>
        <v>1.3042731793936675E-2</v>
      </c>
    </row>
    <row r="40" spans="1:5">
      <c r="A40" s="14">
        <f t="shared" si="1"/>
        <v>32</v>
      </c>
      <c r="B40" s="4">
        <f t="shared" si="4"/>
        <v>1.6725901713773212E-2</v>
      </c>
      <c r="C40" s="4">
        <f t="shared" si="2"/>
        <v>3.940178833960287E-3</v>
      </c>
      <c r="D40" s="4">
        <f t="shared" ref="D40:D56" si="5">$B$4*B40 + $D$4*C40</f>
        <v>1.2250898705838689E-2</v>
      </c>
      <c r="E40" s="4">
        <f t="shared" si="3"/>
        <v>1.3011318919282826E-2</v>
      </c>
    </row>
    <row r="41" spans="1:5">
      <c r="A41" s="14">
        <f t="shared" si="1"/>
        <v>33</v>
      </c>
      <c r="B41" s="4">
        <f t="shared" si="4"/>
        <v>1.7620430067932073E-2</v>
      </c>
      <c r="C41" s="4">
        <f t="shared" si="2"/>
        <v>2.6301700041114259E-3</v>
      </c>
      <c r="D41" s="4">
        <f t="shared" si="5"/>
        <v>1.2373839045594847E-2</v>
      </c>
      <c r="E41" s="4">
        <f t="shared" si="3"/>
        <v>1.3141890235479407E-2</v>
      </c>
    </row>
    <row r="42" spans="1:5">
      <c r="A42" s="14">
        <f t="shared" si="1"/>
        <v>34</v>
      </c>
      <c r="B42" s="4">
        <f t="shared" si="4"/>
        <v>1.8429421130113449E-2</v>
      </c>
      <c r="C42" s="4">
        <f t="shared" si="2"/>
        <v>1.7372699264879643E-3</v>
      </c>
      <c r="D42" s="4">
        <f t="shared" si="5"/>
        <v>1.2587168208844529E-2</v>
      </c>
      <c r="E42" s="4">
        <f t="shared" si="3"/>
        <v>1.3368460860579955E-2</v>
      </c>
    </row>
    <row r="43" spans="1:5">
      <c r="A43" s="14">
        <f t="shared" si="1"/>
        <v>35</v>
      </c>
      <c r="B43" s="4">
        <f t="shared" si="4"/>
        <v>1.914815262503931E-2</v>
      </c>
      <c r="C43" s="4">
        <f t="shared" si="2"/>
        <v>1.1368755117071017E-3</v>
      </c>
      <c r="D43" s="4">
        <f t="shared" si="5"/>
        <v>1.2844205635373036E-2</v>
      </c>
      <c r="E43" s="4">
        <f t="shared" si="3"/>
        <v>1.3641452745588376E-2</v>
      </c>
    </row>
    <row r="44" spans="1:5">
      <c r="A44" s="14">
        <f t="shared" si="1"/>
        <v>36</v>
      </c>
      <c r="B44" s="4">
        <f t="shared" si="4"/>
        <v>1.977373234919156E-2</v>
      </c>
      <c r="C44" s="4">
        <f t="shared" si="2"/>
        <v>7.3791338689205906E-4</v>
      </c>
      <c r="D44" s="4">
        <f t="shared" si="5"/>
        <v>1.3111195712386734E-2</v>
      </c>
      <c r="E44" s="4">
        <f t="shared" si="3"/>
        <v>1.3925015047728174E-2</v>
      </c>
    </row>
    <row r="45" spans="1:5">
      <c r="A45" s="14">
        <f t="shared" si="1"/>
        <v>37</v>
      </c>
      <c r="B45" s="4">
        <f t="shared" si="4"/>
        <v>2.0304929715487821E-2</v>
      </c>
      <c r="C45" s="4">
        <f t="shared" si="2"/>
        <v>4.7552758492518246E-4</v>
      </c>
      <c r="D45" s="4">
        <f t="shared" si="5"/>
        <v>1.3364638969790897E-2</v>
      </c>
      <c r="E45" s="4">
        <f t="shared" si="3"/>
        <v>1.4194189671501354E-2</v>
      </c>
    </row>
    <row r="46" spans="1:5">
      <c r="A46" s="14">
        <f t="shared" si="1"/>
        <v>38</v>
      </c>
      <c r="B46" s="4">
        <f t="shared" si="4"/>
        <v>2.0741989486643141E-2</v>
      </c>
      <c r="C46" s="4">
        <f t="shared" si="2"/>
        <v>3.0451447943641828E-4</v>
      </c>
      <c r="D46" s="4">
        <f t="shared" si="5"/>
        <v>1.3588873234120788E-2</v>
      </c>
      <c r="E46" s="4">
        <f t="shared" si="3"/>
        <v>1.4432342283475567E-2</v>
      </c>
    </row>
    <row r="47" spans="1:5">
      <c r="A47" s="14">
        <f t="shared" si="1"/>
        <v>39</v>
      </c>
      <c r="B47" s="4">
        <f t="shared" si="4"/>
        <v>2.1086437460825287E-2</v>
      </c>
      <c r="C47" s="4">
        <f t="shared" si="2"/>
        <v>1.9393002635915881E-4</v>
      </c>
      <c r="D47" s="4">
        <f t="shared" si="5"/>
        <v>1.3774059858762143E-2</v>
      </c>
      <c r="E47" s="4">
        <f t="shared" si="3"/>
        <v>1.4629023546675125E-2</v>
      </c>
    </row>
    <row r="48" spans="1:5">
      <c r="A48" s="14">
        <f t="shared" si="1"/>
        <v>40</v>
      </c>
      <c r="B48" s="4">
        <f t="shared" si="4"/>
        <v>2.1340885919105341E-2</v>
      </c>
      <c r="C48" s="4">
        <f t="shared" si="2"/>
        <v>1.2291189637769976E-4</v>
      </c>
      <c r="D48" s="4">
        <f t="shared" si="5"/>
        <v>1.3914595011150667E-2</v>
      </c>
      <c r="E48" s="4">
        <f t="shared" si="3"/>
        <v>1.4778281795478181E-2</v>
      </c>
    </row>
    <row r="49" spans="1:5">
      <c r="A49" s="14">
        <f t="shared" si="1"/>
        <v>41</v>
      </c>
      <c r="B49" s="4">
        <f t="shared" si="4"/>
        <v>2.1508844848116524E-2</v>
      </c>
      <c r="C49" s="4">
        <f t="shared" si="2"/>
        <v>7.7576400418170237E-5</v>
      </c>
      <c r="D49" s="4">
        <f t="shared" si="5"/>
        <v>1.4007900891422101E-2</v>
      </c>
      <c r="E49" s="4">
        <f t="shared" si="3"/>
        <v>1.4877379224524544E-2</v>
      </c>
    </row>
    <row r="50" spans="1:5">
      <c r="A50" s="14">
        <f t="shared" si="1"/>
        <v>42</v>
      </c>
      <c r="B50" s="4">
        <f t="shared" si="4"/>
        <v>2.1594543360799981E-2</v>
      </c>
      <c r="C50" s="4">
        <f t="shared" si="2"/>
        <v>4.8786445840488643E-5</v>
      </c>
      <c r="D50" s="4">
        <f t="shared" si="5"/>
        <v>1.4053528440564159E-2</v>
      </c>
      <c r="E50" s="4">
        <f t="shared" si="3"/>
        <v>1.4925838901454991E-2</v>
      </c>
    </row>
    <row r="51" spans="1:5">
      <c r="A51" s="14">
        <f t="shared" si="1"/>
        <v>43</v>
      </c>
      <c r="B51" s="4">
        <f t="shared" si="4"/>
        <v>2.1602764373282346E-2</v>
      </c>
      <c r="C51" s="4">
        <f t="shared" si="2"/>
        <v>3.0586144265374083E-5</v>
      </c>
      <c r="D51" s="4">
        <f t="shared" si="5"/>
        <v>1.4052501993126408E-2</v>
      </c>
      <c r="E51" s="4">
        <f>IF($D$94&gt;0, D51/$D$94, 0)</f>
        <v>1.4924748741844081E-2</v>
      </c>
    </row>
    <row r="52" spans="1:5">
      <c r="A52" s="14">
        <f t="shared" si="1"/>
        <v>44</v>
      </c>
      <c r="B52" s="4">
        <f t="shared" si="4"/>
        <v>2.1538694457762814E-2</v>
      </c>
      <c r="C52" s="4">
        <f t="shared" si="2"/>
        <v>1.9125216298383302E-5</v>
      </c>
      <c r="D52" s="4">
        <f t="shared" si="5"/>
        <v>1.4006845223250264E-2</v>
      </c>
      <c r="E52" s="4">
        <f t="shared" si="3"/>
        <v>1.4876258030432053E-2</v>
      </c>
    </row>
    <row r="53" spans="1:5">
      <c r="A53" s="14">
        <f t="shared" si="1"/>
        <v>45</v>
      </c>
      <c r="B53" s="4">
        <f t="shared" si="4"/>
        <v>2.1407789868109279E-2</v>
      </c>
      <c r="C53" s="4">
        <f t="shared" si="2"/>
        <v>1.193230887709346E-5</v>
      </c>
      <c r="D53" s="4">
        <f t="shared" si="5"/>
        <v>1.3919239722378015E-2</v>
      </c>
      <c r="E53" s="4">
        <f t="shared" si="3"/>
        <v>1.478321480655909E-2</v>
      </c>
    </row>
    <row r="54" spans="1:5">
      <c r="A54" s="14">
        <f t="shared" si="1"/>
        <v>46</v>
      </c>
      <c r="B54" s="4">
        <f t="shared" si="4"/>
        <v>2.1215659007362945E-2</v>
      </c>
      <c r="C54" s="4">
        <f t="shared" si="2"/>
        <v>7.4309109264203345E-6</v>
      </c>
      <c r="D54" s="4">
        <f t="shared" si="5"/>
        <v>1.3792779173610161E-2</v>
      </c>
      <c r="E54" s="4">
        <f t="shared" si="3"/>
        <v>1.4648904779985946E-2</v>
      </c>
    </row>
    <row r="55" spans="1:5">
      <c r="A55" s="14">
        <f t="shared" si="1"/>
        <v>47</v>
      </c>
      <c r="B55" s="4">
        <f t="shared" si="4"/>
        <v>2.0967961051273062E-2</v>
      </c>
      <c r="C55" s="4">
        <f t="shared" si="2"/>
        <v>4.6206848180923904E-6</v>
      </c>
      <c r="D55" s="4">
        <f t="shared" si="5"/>
        <v>1.3630791923013823E-2</v>
      </c>
      <c r="E55" s="4">
        <f t="shared" si="3"/>
        <v>1.4476862889103097E-2</v>
      </c>
    </row>
    <row r="56" spans="1:5">
      <c r="A56" s="14">
        <f t="shared" si="1"/>
        <v>48</v>
      </c>
      <c r="B56" s="4">
        <f t="shared" ref="B56:B73" si="6">IF(A56&gt;0,_xlfn.LOGNORM.DIST(A56,$B$2,$B$3,FALSE),0)</f>
        <v>2.0670320034757203E-2</v>
      </c>
      <c r="C56" s="4">
        <f t="shared" si="2"/>
        <v>2.8697934261659589E-6</v>
      </c>
      <c r="D56" s="4">
        <f t="shared" ref="D56:D73" si="7">$B$4*B56 + $D$4*C56</f>
        <v>1.3436712450291341E-2</v>
      </c>
      <c r="E56" s="4">
        <f t="shared" si="3"/>
        <v>1.4270736793711013E-2</v>
      </c>
    </row>
    <row r="57" spans="1:5">
      <c r="A57" s="14">
        <f t="shared" si="1"/>
        <v>49</v>
      </c>
      <c r="B57" s="4">
        <f t="shared" si="6"/>
        <v>2.0328253424685507E-2</v>
      </c>
      <c r="C57" s="4">
        <f t="shared" si="2"/>
        <v>1.7807200271741232E-6</v>
      </c>
      <c r="D57" s="4">
        <f t="shared" si="7"/>
        <v>1.321398797805509E-2</v>
      </c>
      <c r="E57" s="4">
        <f t="shared" si="3"/>
        <v>1.4034187687479837E-2</v>
      </c>
    </row>
    <row r="58" spans="1:5">
      <c r="A58" s="14">
        <f t="shared" si="1"/>
        <v>50</v>
      </c>
      <c r="B58" s="4">
        <f t="shared" si="6"/>
        <v>1.9947114020071641E-2</v>
      </c>
      <c r="C58" s="4">
        <f t="shared" si="2"/>
        <v>1.1042077563882881E-6</v>
      </c>
      <c r="D58" s="4">
        <f t="shared" si="7"/>
        <v>1.2966010585761302E-2</v>
      </c>
      <c r="E58" s="4">
        <f t="shared" si="3"/>
        <v>1.3770818198156671E-2</v>
      </c>
    </row>
    <row r="59" spans="1:5">
      <c r="A59" s="14">
        <f t="shared" si="1"/>
        <v>51</v>
      </c>
      <c r="B59" s="4">
        <f t="shared" si="6"/>
        <v>1.9532043919282809E-2</v>
      </c>
      <c r="C59" s="4">
        <f t="shared" si="2"/>
        <v>6.8440843726570997E-7</v>
      </c>
      <c r="D59" s="4">
        <f t="shared" si="7"/>
        <v>1.2696068090486869E-2</v>
      </c>
      <c r="E59" s="4">
        <f t="shared" si="3"/>
        <v>1.3484120219484403E-2</v>
      </c>
    </row>
    <row r="60" spans="1:5">
      <c r="A60" s="14">
        <f t="shared" si="1"/>
        <v>52</v>
      </c>
      <c r="B60" s="4">
        <f t="shared" si="6"/>
        <v>1.9087939255425509E-2</v>
      </c>
      <c r="C60" s="4">
        <f t="shared" si="2"/>
        <v>4.2411090009686524E-7</v>
      </c>
      <c r="D60" s="4">
        <f t="shared" si="7"/>
        <v>1.2407308954841614E-2</v>
      </c>
      <c r="E60" s="4">
        <f t="shared" si="3"/>
        <v>1.317743764092825E-2</v>
      </c>
    </row>
    <row r="61" spans="1:5">
      <c r="A61" s="14">
        <f t="shared" si="1"/>
        <v>53</v>
      </c>
      <c r="B61" s="4">
        <f t="shared" si="6"/>
        <v>1.8619424410362535E-2</v>
      </c>
      <c r="C61" s="4">
        <f t="shared" si="2"/>
        <v>2.6279970227330638E-7</v>
      </c>
      <c r="D61" s="4">
        <f t="shared" si="7"/>
        <v>1.2102717846631443E-2</v>
      </c>
      <c r="E61" s="4">
        <f t="shared" si="3"/>
        <v>1.2853940390313359E-2</v>
      </c>
    </row>
    <row r="62" spans="1:5">
      <c r="A62" s="14">
        <f t="shared" si="1"/>
        <v>54</v>
      </c>
      <c r="B62" s="4">
        <f t="shared" si="6"/>
        <v>1.8130834462075071E-2</v>
      </c>
      <c r="C62" s="4">
        <f t="shared" si="2"/>
        <v>1.6286434454741068E-7</v>
      </c>
      <c r="D62" s="4">
        <f t="shared" si="7"/>
        <v>1.1785099402869387E-2</v>
      </c>
      <c r="E62" s="4">
        <f t="shared" si="3"/>
        <v>1.251660719005885E-2</v>
      </c>
    </row>
    <row r="63" spans="1:5">
      <c r="A63" s="14">
        <f t="shared" si="1"/>
        <v>55</v>
      </c>
      <c r="B63" s="4">
        <f t="shared" si="6"/>
        <v>1.7626204688787141E-2</v>
      </c>
      <c r="C63" s="4">
        <f t="shared" si="2"/>
        <v>1.0096026005222541E-7</v>
      </c>
      <c r="D63" s="4">
        <f t="shared" si="7"/>
        <v>1.1457068383802661E-2</v>
      </c>
      <c r="E63" s="4">
        <f t="shared" si="3"/>
        <v>1.216821510005974E-2</v>
      </c>
    </row>
    <row r="64" spans="1:5">
      <c r="A64" s="14">
        <f t="shared" si="1"/>
        <v>56</v>
      </c>
      <c r="B64" s="4">
        <f t="shared" si="6"/>
        <v>1.7109266037942709E-2</v>
      </c>
      <c r="C64" s="4">
        <f t="shared" si="2"/>
        <v>6.2612298626069713E-8</v>
      </c>
      <c r="D64" s="4">
        <f t="shared" si="7"/>
        <v>1.1121044838967279E-2</v>
      </c>
      <c r="E64" s="4">
        <f t="shared" si="3"/>
        <v>1.1811334383695858E-2</v>
      </c>
    </row>
    <row r="65" spans="1:5">
      <c r="A65" s="14">
        <f t="shared" si="1"/>
        <v>57</v>
      </c>
      <c r="B65" s="4">
        <f t="shared" si="6"/>
        <v>1.658344556207144E-2</v>
      </c>
      <c r="C65" s="4">
        <f t="shared" si="2"/>
        <v>3.8851648217739067E-8</v>
      </c>
      <c r="D65" s="4">
        <f t="shared" si="7"/>
        <v>1.0779253213423313E-2</v>
      </c>
      <c r="E65" s="4">
        <f t="shared" si="3"/>
        <v>1.1448327558590597E-2</v>
      </c>
    </row>
    <row r="66" spans="1:5">
      <c r="A66" s="14">
        <f t="shared" si="1"/>
        <v>58</v>
      </c>
      <c r="B66" s="4">
        <f t="shared" si="6"/>
        <v>1.6051870921614586E-2</v>
      </c>
      <c r="C66" s="4">
        <f t="shared" si="2"/>
        <v>2.412407458437503E-8</v>
      </c>
      <c r="D66" s="4">
        <f t="shared" si="7"/>
        <v>1.0433724542475585E-2</v>
      </c>
      <c r="E66" s="4">
        <f t="shared" si="3"/>
        <v>1.1081351727559184E-2</v>
      </c>
    </row>
    <row r="67" spans="1:5">
      <c r="A67" s="14">
        <f t="shared" si="1"/>
        <v>59</v>
      </c>
      <c r="B67" s="4">
        <f t="shared" si="6"/>
        <v>1.5517378153010899E-2</v>
      </c>
      <c r="C67" s="4">
        <f t="shared" si="2"/>
        <v>1.4990961304430437E-8</v>
      </c>
      <c r="D67" s="4">
        <f t="shared" si="7"/>
        <v>1.0086301046293541E-2</v>
      </c>
      <c r="E67" s="4">
        <f t="shared" si="3"/>
        <v>1.0712363458419189E-2</v>
      </c>
    </row>
    <row r="68" spans="1:5">
      <c r="A68" s="14">
        <f t="shared" si="1"/>
        <v>60</v>
      </c>
      <c r="B68" s="4">
        <f t="shared" si="6"/>
        <v>1.4982521995899766E-2</v>
      </c>
      <c r="C68" s="4">
        <f t="shared" si="2"/>
        <v>9.3236915916371632E-9</v>
      </c>
      <c r="D68" s="4">
        <f t="shared" si="7"/>
        <v>9.7386425606269048E-3</v>
      </c>
      <c r="E68" s="4">
        <f t="shared" si="3"/>
        <v>1.0343125613864352E-2</v>
      </c>
    </row>
    <row r="69" spans="1:5">
      <c r="A69" s="14">
        <f t="shared" si="1"/>
        <v>61</v>
      </c>
      <c r="B69" s="4">
        <f t="shared" si="6"/>
        <v>1.4449588164191257E-2</v>
      </c>
      <c r="C69" s="4">
        <f t="shared" si="2"/>
        <v>5.8044900400334548E-9</v>
      </c>
      <c r="D69" s="4">
        <f t="shared" si="7"/>
        <v>9.3922343382958316E-3</v>
      </c>
      <c r="E69" s="4">
        <f t="shared" si="3"/>
        <v>9.9752156371976358E-3</v>
      </c>
    </row>
    <row r="70" spans="1:5">
      <c r="A70" s="14">
        <f t="shared" si="1"/>
        <v>62</v>
      </c>
      <c r="B70" s="4">
        <f t="shared" si="6"/>
        <v>1.3920607030652309E-2</v>
      </c>
      <c r="C70" s="4">
        <f t="shared" si="2"/>
        <v>3.6173677033022874E-9</v>
      </c>
      <c r="D70" s="4">
        <f t="shared" si="7"/>
        <v>9.0483958360026984E-3</v>
      </c>
      <c r="E70" s="4">
        <f t="shared" si="3"/>
        <v>9.6100348845453952E-3</v>
      </c>
    </row>
    <row r="71" spans="1:5">
      <c r="A71" s="14">
        <f t="shared" si="1"/>
        <v>63</v>
      </c>
      <c r="B71" s="4">
        <f t="shared" si="6"/>
        <v>1.3397368272775576E-2</v>
      </c>
      <c r="C71" s="4">
        <f t="shared" si="2"/>
        <v>2.2568626256213251E-9</v>
      </c>
      <c r="D71" s="4">
        <f t="shared" si="7"/>
        <v>8.7082901672060429E-3</v>
      </c>
      <c r="E71" s="4">
        <f t="shared" si="3"/>
        <v>9.2488186644765595E-3</v>
      </c>
    </row>
    <row r="72" spans="1:5">
      <c r="A72" s="14">
        <f t="shared" si="1"/>
        <v>64</v>
      </c>
      <c r="B72" s="4">
        <f t="shared" si="6"/>
        <v>1.2881436098652638E-2</v>
      </c>
      <c r="C72" s="4">
        <f t="shared" si="2"/>
        <v>1.4097107668028985E-9</v>
      </c>
      <c r="D72" s="4">
        <f t="shared" si="7"/>
        <v>8.3729339575229836E-3</v>
      </c>
      <c r="E72" s="4">
        <f t="shared" si="3"/>
        <v>8.8926467051354385E-3</v>
      </c>
    </row>
    <row r="73" spans="1:5">
      <c r="A73" s="14">
        <f t="shared" si="1"/>
        <v>65</v>
      </c>
      <c r="B73" s="4">
        <f t="shared" si="6"/>
        <v>1.2374164735289747E-2</v>
      </c>
      <c r="C73" s="4">
        <f t="shared" ref="C73:C93" si="8">IF(A73&gt;0,_xlfn.LOGNORM.DIST(A73,$D$2,$D$3,FALSE),0)</f>
        <v>8.8164388877105107E-10</v>
      </c>
      <c r="D73" s="4">
        <f t="shared" si="7"/>
        <v>8.0432073865136979E-3</v>
      </c>
      <c r="E73" s="4">
        <f t="shared" ref="E73:E93" si="9">IF($D$94&gt;0, D73/$D$94, 0)</f>
        <v>8.5424538193254601E-3</v>
      </c>
    </row>
    <row r="74" spans="1:5">
      <c r="A74" s="14">
        <f t="shared" ref="A74:A94" si="10">A73+$F$2</f>
        <v>66</v>
      </c>
      <c r="B74" s="4">
        <f t="shared" ref="B74:B94" si="11">IF(A74&gt;0,_xlfn.LOGNORM.DIST(A74,$B$2,$B$3,FALSE),0)</f>
        <v>1.1876713918435387E-2</v>
      </c>
      <c r="C74" s="4">
        <f t="shared" si="8"/>
        <v>5.5210044433035201E-10</v>
      </c>
      <c r="D74" s="4">
        <f t="shared" ref="D74:D94" si="12">$B$4*B74 + $D$4*C74</f>
        <v>7.7198642402181578E-3</v>
      </c>
      <c r="E74" s="4">
        <f t="shared" si="9"/>
        <v>8.1990405810125431E-3</v>
      </c>
    </row>
    <row r="75" spans="1:5">
      <c r="A75" s="14">
        <f t="shared" si="10"/>
        <v>67</v>
      </c>
      <c r="B75" s="4">
        <f t="shared" si="11"/>
        <v>1.1390064172841545E-2</v>
      </c>
      <c r="C75" s="4">
        <f t="shared" si="8"/>
        <v>3.4619905156793947E-10</v>
      </c>
      <c r="D75" s="4">
        <f t="shared" si="12"/>
        <v>7.4035418335166728E-3</v>
      </c>
      <c r="E75" s="4">
        <f t="shared" si="9"/>
        <v>7.8630838635721668E-3</v>
      </c>
    </row>
    <row r="76" spans="1:5">
      <c r="A76" s="14">
        <f t="shared" si="10"/>
        <v>68</v>
      </c>
      <c r="B76" s="4">
        <f t="shared" si="11"/>
        <v>1.0915031715367953E-2</v>
      </c>
      <c r="C76" s="4">
        <f t="shared" si="8"/>
        <v>2.1738803838781035E-10</v>
      </c>
      <c r="D76" s="4">
        <f t="shared" si="12"/>
        <v>7.0947706910749831E-3</v>
      </c>
      <c r="E76" s="4">
        <f t="shared" si="9"/>
        <v>7.535147121636214E-3</v>
      </c>
    </row>
    <row r="77" spans="1:5">
      <c r="A77" s="14">
        <f t="shared" si="10"/>
        <v>69</v>
      </c>
      <c r="B77" s="4">
        <f t="shared" si="11"/>
        <v>1.045228285094192E-2</v>
      </c>
      <c r="C77" s="4">
        <f t="shared" si="8"/>
        <v>1.3669877591585957E-10</v>
      </c>
      <c r="D77" s="4">
        <f t="shared" si="12"/>
        <v>6.7939839009568195E-3</v>
      </c>
      <c r="E77" s="4">
        <f t="shared" si="9"/>
        <v>7.2156903252895421E-3</v>
      </c>
    </row>
    <row r="78" spans="1:5">
      <c r="A78" s="14">
        <f t="shared" si="10"/>
        <v>70</v>
      </c>
      <c r="B78" s="4">
        <f t="shared" si="11"/>
        <v>1.000234776361116E-2</v>
      </c>
      <c r="C78" s="4">
        <f t="shared" si="8"/>
        <v>8.6085162052030238E-11</v>
      </c>
      <c r="D78" s="4">
        <f t="shared" si="12"/>
        <v>6.5015260764770613E-3</v>
      </c>
      <c r="E78" s="4">
        <f t="shared" si="9"/>
        <v>6.9050794781904462E-3</v>
      </c>
    </row>
    <row r="79" spans="1:5">
      <c r="A79" s="14">
        <f t="shared" si="10"/>
        <v>71</v>
      </c>
      <c r="B79" s="4">
        <f t="shared" si="11"/>
        <v>9.5656336323000322E-3</v>
      </c>
      <c r="C79" s="4">
        <f t="shared" si="8"/>
        <v>5.4292589446150522E-11</v>
      </c>
      <c r="D79" s="4">
        <f t="shared" si="12"/>
        <v>6.2176618799974276E-3</v>
      </c>
      <c r="E79" s="4">
        <f t="shared" si="9"/>
        <v>6.6035956704431657E-3</v>
      </c>
    </row>
    <row r="80" spans="1:5">
      <c r="A80" s="14">
        <f t="shared" si="10"/>
        <v>72</v>
      </c>
      <c r="B80" s="4">
        <f t="shared" si="11"/>
        <v>9.1424370239069474E-3</v>
      </c>
      <c r="C80" s="4">
        <f t="shared" si="8"/>
        <v>3.4293657362036607E-11</v>
      </c>
      <c r="D80" s="4">
        <f t="shared" si="12"/>
        <v>5.9425840775422963E-3</v>
      </c>
      <c r="E80" s="4">
        <f t="shared" si="9"/>
        <v>6.3114436331682669E-3</v>
      </c>
    </row>
    <row r="81" spans="1:5">
      <c r="A81" s="14">
        <f t="shared" si="10"/>
        <v>73</v>
      </c>
      <c r="B81" s="4">
        <f t="shared" si="11"/>
        <v>8.7329555355600864E-3</v>
      </c>
      <c r="C81" s="4">
        <f t="shared" si="8"/>
        <v>2.169497295549725E-11</v>
      </c>
      <c r="D81" s="4">
        <f t="shared" si="12"/>
        <v>5.6764211057072963E-3</v>
      </c>
      <c r="E81" s="4">
        <f t="shared" si="9"/>
        <v>6.0287597750935309E-3</v>
      </c>
    </row>
    <row r="82" spans="1:5">
      <c r="A82" s="14">
        <f t="shared" si="10"/>
        <v>74</v>
      </c>
      <c r="B82" s="4">
        <f t="shared" si="11"/>
        <v>8.3372986736406952E-3</v>
      </c>
      <c r="C82" s="4">
        <f t="shared" si="8"/>
        <v>1.37463153654772E-11</v>
      </c>
      <c r="D82" s="4">
        <f t="shared" si="12"/>
        <v>5.4192441426776624E-3</v>
      </c>
      <c r="E82" s="4">
        <f t="shared" si="9"/>
        <v>5.7556196924744164E-3</v>
      </c>
    </row>
    <row r="83" spans="1:5">
      <c r="A83" s="14">
        <f t="shared" si="10"/>
        <v>75</v>
      </c>
      <c r="B83" s="4">
        <f t="shared" si="11"/>
        <v>7.9554979700223304E-3</v>
      </c>
      <c r="C83" s="4">
        <f t="shared" si="8"/>
        <v>8.7237668689603899E-12</v>
      </c>
      <c r="D83" s="4">
        <f t="shared" si="12"/>
        <v>5.1710736835678334E-3</v>
      </c>
      <c r="E83" s="4">
        <f t="shared" si="9"/>
        <v>5.4920451525687121E-3</v>
      </c>
    </row>
    <row r="84" spans="1:5">
      <c r="A84" s="14">
        <f t="shared" si="10"/>
        <v>76</v>
      </c>
      <c r="B84" s="4">
        <f t="shared" si="11"/>
        <v>7.5875163462535379E-3</v>
      </c>
      <c r="C84" s="4">
        <f t="shared" si="8"/>
        <v>5.5452352896734938E-12</v>
      </c>
      <c r="D84" s="4">
        <f t="shared" si="12"/>
        <v>4.9318856270056319E-3</v>
      </c>
      <c r="E84" s="4">
        <f t="shared" si="9"/>
        <v>5.238010558018434E-3</v>
      </c>
    </row>
    <row r="85" spans="1:5">
      <c r="A85" s="14">
        <f t="shared" si="10"/>
        <v>77</v>
      </c>
      <c r="B85" s="4">
        <f t="shared" si="11"/>
        <v>7.2332567444930917E-3</v>
      </c>
      <c r="C85" s="4">
        <f t="shared" si="8"/>
        <v>3.5305367341501832E-12</v>
      </c>
      <c r="D85" s="4">
        <f t="shared" si="12"/>
        <v>4.7016168851561979E-3</v>
      </c>
      <c r="E85" s="4">
        <f t="shared" si="9"/>
        <v>4.9934489050911203E-3</v>
      </c>
    </row>
    <row r="86" spans="1:5">
      <c r="A86" s="14">
        <f t="shared" si="10"/>
        <v>78</v>
      </c>
      <c r="B86" s="4">
        <f t="shared" si="11"/>
        <v>6.8925700502081256E-3</v>
      </c>
      <c r="C86" s="4">
        <f t="shared" si="8"/>
        <v>2.2515006313164895E-12</v>
      </c>
      <c r="D86" s="4">
        <f t="shared" si="12"/>
        <v>4.4801705334233067E-3</v>
      </c>
      <c r="E86" s="4">
        <f t="shared" si="9"/>
        <v>4.7582572530260265E-3</v>
      </c>
    </row>
    <row r="87" spans="1:5">
      <c r="A87" s="14">
        <f t="shared" si="10"/>
        <v>79</v>
      </c>
      <c r="B87" s="4">
        <f t="shared" si="11"/>
        <v>6.5652623362611549E-3</v>
      </c>
      <c r="C87" s="4">
        <f t="shared" si="8"/>
        <v>1.4381987978812609E-12</v>
      </c>
      <c r="D87" s="4">
        <f t="shared" si="12"/>
        <v>4.2674205190731205E-3</v>
      </c>
      <c r="E87" s="4">
        <f t="shared" si="9"/>
        <v>4.532301724924811E-3</v>
      </c>
    </row>
    <row r="88" spans="1:5">
      <c r="A88" s="14">
        <f t="shared" si="10"/>
        <v>80</v>
      </c>
      <c r="B88" s="4">
        <f t="shared" si="11"/>
        <v>6.251101461289211E-3</v>
      </c>
      <c r="C88" s="4">
        <f t="shared" si="8"/>
        <v>9.202068148744215E-13</v>
      </c>
      <c r="D88" s="4">
        <f t="shared" si="12"/>
        <v>4.0632159501600594E-3</v>
      </c>
      <c r="E88" s="4">
        <f t="shared" si="9"/>
        <v>4.3154220628934684E-3</v>
      </c>
    </row>
    <row r="89" spans="1:5">
      <c r="A89" s="14">
        <f t="shared" si="10"/>
        <v>81</v>
      </c>
      <c r="B89" s="4">
        <f t="shared" si="11"/>
        <v>5.949823057445027E-3</v>
      </c>
      <c r="C89" s="4">
        <f t="shared" si="8"/>
        <v>5.8975972040353187E-13</v>
      </c>
      <c r="D89" s="4">
        <f t="shared" si="12"/>
        <v>3.8673849875456839E-3</v>
      </c>
      <c r="E89" s="4">
        <f t="shared" si="9"/>
        <v>4.1074357616410206E-3</v>
      </c>
    </row>
    <row r="90" spans="1:5">
      <c r="A90" s="14">
        <f t="shared" si="10"/>
        <v>82</v>
      </c>
      <c r="B90" s="4">
        <f t="shared" si="11"/>
        <v>5.6611359438202453E-3</v>
      </c>
      <c r="C90" s="4">
        <f t="shared" si="8"/>
        <v>3.7860881707200654E-13</v>
      </c>
      <c r="D90" s="4">
        <f t="shared" si="12"/>
        <v>3.6797383636156724E-3</v>
      </c>
      <c r="E90" s="4">
        <f t="shared" si="9"/>
        <v>3.9081418056052487E-3</v>
      </c>
    </row>
    <row r="91" spans="1:5">
      <c r="A91" s="14">
        <f t="shared" si="10"/>
        <v>83</v>
      </c>
      <c r="B91" s="4">
        <f t="shared" si="11"/>
        <v>5.3847270023707405E-3</v>
      </c>
      <c r="C91" s="4">
        <f t="shared" si="8"/>
        <v>2.4346386397883345E-13</v>
      </c>
      <c r="D91" s="4">
        <f t="shared" si="12"/>
        <v>3.5000725516261938E-3</v>
      </c>
      <c r="E91" s="4">
        <f t="shared" si="9"/>
        <v>3.7173240350221906E-3</v>
      </c>
    </row>
    <row r="92" spans="1:5">
      <c r="A92" s="14">
        <f t="shared" si="10"/>
        <v>84</v>
      </c>
      <c r="B92" s="4">
        <f t="shared" si="11"/>
        <v>5.1202655530640075E-3</v>
      </c>
      <c r="C92" s="4">
        <f t="shared" si="8"/>
        <v>1.5682241354627948E-13</v>
      </c>
      <c r="D92" s="4">
        <f t="shared" si="12"/>
        <v>3.328172609546493E-3</v>
      </c>
      <c r="E92" s="4">
        <f t="shared" si="9"/>
        <v>3.534754166287641E-3</v>
      </c>
    </row>
    <row r="93" spans="1:5" ht="16" thickBot="1">
      <c r="A93" s="15">
        <f t="shared" si="10"/>
        <v>85</v>
      </c>
      <c r="B93" s="12">
        <f t="shared" si="11"/>
        <v>4.8674072643876652E-3</v>
      </c>
      <c r="C93" s="12">
        <f t="shared" si="8"/>
        <v>1.011842110998068E-13</v>
      </c>
      <c r="D93" s="12">
        <f t="shared" si="12"/>
        <v>3.1638147218873967E-3</v>
      </c>
      <c r="E93" s="12">
        <f t="shared" si="9"/>
        <v>3.3601944915583938E-3</v>
      </c>
    </row>
    <row r="94" spans="1:5">
      <c r="A94" s="16" t="s">
        <v>9</v>
      </c>
      <c r="B94" s="11">
        <f>SUM(B8:B93)</f>
        <v>0.91008772756177336</v>
      </c>
      <c r="C94" s="11">
        <f>SUM(C8:C93)</f>
        <v>0.99999999999981326</v>
      </c>
      <c r="D94" s="11">
        <f>SUM(D8:D93)</f>
        <v>0.94155702291508736</v>
      </c>
      <c r="E94" s="11">
        <f>SUM(E8:E93)</f>
        <v>1</v>
      </c>
    </row>
  </sheetData>
  <mergeCells count="2">
    <mergeCell ref="A1:E1"/>
    <mergeCell ref="T1:U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B447-8207-AC4D-A4FE-0BE2A81FD93D}">
  <dimension ref="A1:V94"/>
  <sheetViews>
    <sheetView zoomScale="75" workbookViewId="0">
      <selection activeCell="J3" sqref="J3"/>
    </sheetView>
  </sheetViews>
  <sheetFormatPr baseColWidth="10" defaultColWidth="8.83203125" defaultRowHeight="15"/>
  <cols>
    <col min="1" max="1" width="13.33203125" customWidth="1"/>
    <col min="2" max="3" width="16" customWidth="1"/>
    <col min="4" max="4" width="11.83203125" bestFit="1" customWidth="1"/>
    <col min="5" max="5" width="13.1640625" customWidth="1"/>
    <col min="6" max="6" width="12.83203125" customWidth="1"/>
    <col min="7" max="7" width="14" customWidth="1"/>
    <col min="9" max="9" width="13.1640625" customWidth="1"/>
    <col min="20" max="20" width="5.33203125" bestFit="1" customWidth="1"/>
    <col min="21" max="21" width="54.1640625" bestFit="1" customWidth="1"/>
  </cols>
  <sheetData>
    <row r="1" spans="1:22" ht="19" thickBot="1">
      <c r="A1" s="18" t="s">
        <v>10</v>
      </c>
      <c r="B1" s="19"/>
      <c r="C1" s="19"/>
      <c r="D1" s="19"/>
      <c r="E1" s="19"/>
      <c r="J1" t="s">
        <v>19</v>
      </c>
      <c r="T1" s="20" t="s">
        <v>5</v>
      </c>
      <c r="U1" s="21"/>
      <c r="V1" s="6"/>
    </row>
    <row r="2" spans="1:22" ht="18">
      <c r="A2" t="s">
        <v>11</v>
      </c>
      <c r="B2" s="4">
        <f>LN(J2)</f>
        <v>3.8066624897703196</v>
      </c>
      <c r="C2" t="s">
        <v>13</v>
      </c>
      <c r="D2" s="4">
        <f>LN(J3)</f>
        <v>3.4011973816621555</v>
      </c>
      <c r="E2" t="s">
        <v>22</v>
      </c>
      <c r="F2" s="4">
        <v>1</v>
      </c>
      <c r="I2" t="s">
        <v>17</v>
      </c>
      <c r="J2">
        <v>45</v>
      </c>
      <c r="L2" s="3"/>
      <c r="M2" t="s">
        <v>25</v>
      </c>
      <c r="T2" s="7">
        <v>0.2</v>
      </c>
      <c r="U2" s="8" t="s">
        <v>6</v>
      </c>
      <c r="V2" s="6"/>
    </row>
    <row r="3" spans="1:22" ht="18">
      <c r="A3" t="s">
        <v>12</v>
      </c>
      <c r="B3" s="4">
        <v>0.2</v>
      </c>
      <c r="C3" t="s">
        <v>14</v>
      </c>
      <c r="D3" s="4">
        <v>0.3</v>
      </c>
      <c r="F3" s="4"/>
      <c r="I3" t="s">
        <v>18</v>
      </c>
      <c r="J3">
        <v>30</v>
      </c>
      <c r="L3" s="3">
        <f>J2*B4+J3*D4</f>
        <v>42</v>
      </c>
      <c r="M3" s="27" t="s">
        <v>26</v>
      </c>
      <c r="T3" s="7">
        <v>0.5</v>
      </c>
      <c r="U3" s="8" t="s">
        <v>7</v>
      </c>
      <c r="V3" s="6"/>
    </row>
    <row r="4" spans="1:22" ht="19" thickBot="1">
      <c r="A4" t="s">
        <v>0</v>
      </c>
      <c r="B4" s="4">
        <v>0.8</v>
      </c>
      <c r="C4" t="s">
        <v>1</v>
      </c>
      <c r="D4" s="4">
        <v>0.2</v>
      </c>
      <c r="E4" t="s">
        <v>21</v>
      </c>
      <c r="F4" s="4">
        <v>85</v>
      </c>
      <c r="T4" s="9">
        <v>1</v>
      </c>
      <c r="U4" s="10" t="s">
        <v>8</v>
      </c>
      <c r="V4" s="6"/>
    </row>
    <row r="5" spans="1:22">
      <c r="A5" t="s">
        <v>2</v>
      </c>
      <c r="B5" s="4">
        <f>B4+D4</f>
        <v>1</v>
      </c>
      <c r="F5" s="4"/>
    </row>
    <row r="6" spans="1:22">
      <c r="A6" s="1"/>
    </row>
    <row r="7" spans="1:22" ht="16" thickBot="1">
      <c r="A7" s="2" t="s">
        <v>20</v>
      </c>
      <c r="B7" s="2" t="s">
        <v>15</v>
      </c>
      <c r="C7" s="2" t="s">
        <v>16</v>
      </c>
      <c r="D7" s="2" t="s">
        <v>3</v>
      </c>
      <c r="E7" s="2" t="s">
        <v>4</v>
      </c>
    </row>
    <row r="8" spans="1:22">
      <c r="A8" s="13">
        <v>0</v>
      </c>
      <c r="B8" s="4">
        <f>IF(A8&gt;0,_xlfn.LOGNORM.DIST(A8,$B$2,$B$3,FALSE),0)</f>
        <v>0</v>
      </c>
      <c r="C8" s="4">
        <f>IF(A8&gt;0,_xlfn.LOGNORM.DIST(A8,$C$2,$C$3,FALSE),0)</f>
        <v>0</v>
      </c>
      <c r="D8" s="4">
        <f t="shared" ref="D8:D39" si="0">$B$4*B8 + $D$4*C8</f>
        <v>0</v>
      </c>
      <c r="E8" s="4">
        <f>IF($D$94&gt;0, D8/$D$94, 0)</f>
        <v>0</v>
      </c>
    </row>
    <row r="9" spans="1:22">
      <c r="A9" s="14">
        <f t="shared" ref="A9:A72" si="1">A8+$F$2</f>
        <v>1</v>
      </c>
      <c r="B9" s="4">
        <f t="shared" ref="B9:B56" si="2">IF(A9&gt;0,_xlfn.LOGNORM.DIST(A9,$B$2,$B$3,FALSE),0)</f>
        <v>4.3112605741533346E-79</v>
      </c>
      <c r="C9" s="4">
        <f t="shared" ref="C9:C56" si="3">IF(A9&gt;0,_xlfn.LOGNORM.DIST(A9,$D$2,$D$3,FALSE),0)</f>
        <v>1.6322383101492363E-28</v>
      </c>
      <c r="D9" s="4">
        <f t="shared" si="0"/>
        <v>3.2644766202984731E-29</v>
      </c>
      <c r="E9" s="4">
        <f t="shared" ref="E9:E72" si="4">IF($D$94&gt;0, D9/$D$94, 0)</f>
        <v>3.2663693488709831E-29</v>
      </c>
    </row>
    <row r="10" spans="1:22">
      <c r="A10" s="14">
        <f t="shared" si="1"/>
        <v>2</v>
      </c>
      <c r="B10" s="4">
        <f t="shared" si="2"/>
        <v>2.3623157047270362E-53</v>
      </c>
      <c r="C10" s="4">
        <f t="shared" si="3"/>
        <v>1.3452134502206306E-18</v>
      </c>
      <c r="D10" s="4">
        <f t="shared" si="0"/>
        <v>2.6904269004412614E-19</v>
      </c>
      <c r="E10" s="4">
        <f t="shared" si="4"/>
        <v>2.6919867976189746E-19</v>
      </c>
    </row>
    <row r="11" spans="1:22">
      <c r="A11" s="14">
        <f t="shared" si="1"/>
        <v>3</v>
      </c>
      <c r="B11" s="4">
        <f t="shared" si="2"/>
        <v>1.026435544726767E-40</v>
      </c>
      <c r="C11" s="4">
        <f t="shared" si="3"/>
        <v>7.1536576240140659E-14</v>
      </c>
      <c r="D11" s="4">
        <f t="shared" si="0"/>
        <v>1.4307315248028132E-14</v>
      </c>
      <c r="E11" s="4">
        <f t="shared" si="4"/>
        <v>1.4315610563790992E-14</v>
      </c>
    </row>
    <row r="12" spans="1:22">
      <c r="A12" s="14">
        <f t="shared" si="1"/>
        <v>4</v>
      </c>
      <c r="B12" s="4">
        <f t="shared" si="2"/>
        <v>7.8635614112628808E-33</v>
      </c>
      <c r="C12" s="4">
        <f t="shared" si="3"/>
        <v>5.3256863080632025E-11</v>
      </c>
      <c r="D12" s="4">
        <f t="shared" si="0"/>
        <v>1.0651372616126405E-11</v>
      </c>
      <c r="E12" s="4">
        <f t="shared" si="4"/>
        <v>1.0657548233118617E-11</v>
      </c>
    </row>
    <row r="13" spans="1:22">
      <c r="A13" s="14">
        <f t="shared" si="1"/>
        <v>5</v>
      </c>
      <c r="B13" s="4">
        <f t="shared" si="2"/>
        <v>2.4680069868249666E-27</v>
      </c>
      <c r="C13" s="4">
        <f t="shared" si="3"/>
        <v>4.7745300659747201E-9</v>
      </c>
      <c r="D13" s="4">
        <f t="shared" si="0"/>
        <v>9.5490601319494414E-10</v>
      </c>
      <c r="E13" s="4">
        <f t="shared" si="4"/>
        <v>9.5545966332188875E-10</v>
      </c>
    </row>
    <row r="14" spans="1:22">
      <c r="A14" s="14">
        <f t="shared" si="1"/>
        <v>6</v>
      </c>
      <c r="B14" s="4">
        <f t="shared" si="2"/>
        <v>3.035177088231445E-23</v>
      </c>
      <c r="C14" s="4">
        <f t="shared" si="3"/>
        <v>1.2471591240777478E-7</v>
      </c>
      <c r="D14" s="4">
        <f t="shared" si="0"/>
        <v>2.4943182481554981E-8</v>
      </c>
      <c r="E14" s="4">
        <f t="shared" si="4"/>
        <v>2.4957644424360337E-8</v>
      </c>
    </row>
    <row r="15" spans="1:22">
      <c r="A15" s="14">
        <f t="shared" si="1"/>
        <v>7</v>
      </c>
      <c r="B15" s="4">
        <f t="shared" si="2"/>
        <v>4.5553400019356154E-20</v>
      </c>
      <c r="C15" s="4">
        <f t="shared" si="3"/>
        <v>1.4751218962048775E-6</v>
      </c>
      <c r="D15" s="4">
        <f t="shared" si="0"/>
        <v>2.9502437924101196E-7</v>
      </c>
      <c r="E15" s="4">
        <f t="shared" si="4"/>
        <v>2.9519543302301928E-7</v>
      </c>
    </row>
    <row r="16" spans="1:22">
      <c r="A16" s="14">
        <f t="shared" si="1"/>
        <v>8</v>
      </c>
      <c r="B16" s="4">
        <f t="shared" si="2"/>
        <v>1.5901874055557755E-17</v>
      </c>
      <c r="C16" s="4">
        <f t="shared" si="3"/>
        <v>1.0128303587598684E-5</v>
      </c>
      <c r="D16" s="4">
        <f t="shared" si="0"/>
        <v>2.0256607175324585E-6</v>
      </c>
      <c r="E16" s="4">
        <f t="shared" si="4"/>
        <v>2.0268351863261528E-6</v>
      </c>
    </row>
    <row r="17" spans="1:5">
      <c r="A17" s="14">
        <f t="shared" si="1"/>
        <v>9</v>
      </c>
      <c r="B17" s="4">
        <f t="shared" si="2"/>
        <v>1.9221056389115396E-15</v>
      </c>
      <c r="C17" s="4">
        <f t="shared" si="3"/>
        <v>4.7005369652148987E-5</v>
      </c>
      <c r="D17" s="4">
        <f t="shared" si="0"/>
        <v>9.4010739319674836E-6</v>
      </c>
      <c r="E17" s="4">
        <f t="shared" si="4"/>
        <v>9.4065246315168923E-6</v>
      </c>
    </row>
    <row r="18" spans="1:5">
      <c r="A18" s="14">
        <f t="shared" si="1"/>
        <v>10</v>
      </c>
      <c r="B18" s="4">
        <f t="shared" si="2"/>
        <v>1.0443663120103253E-13</v>
      </c>
      <c r="C18" s="4">
        <f t="shared" si="3"/>
        <v>1.6282690948352902E-4</v>
      </c>
      <c r="D18" s="4">
        <f t="shared" si="0"/>
        <v>3.2565381980255109E-5</v>
      </c>
      <c r="E18" s="4">
        <f t="shared" si="4"/>
        <v>3.2584263239371956E-5</v>
      </c>
    </row>
    <row r="19" spans="1:5">
      <c r="A19" s="14">
        <f t="shared" si="1"/>
        <v>11</v>
      </c>
      <c r="B19" s="4">
        <f t="shared" si="2"/>
        <v>3.052044906699251E-12</v>
      </c>
      <c r="C19" s="4">
        <f t="shared" si="3"/>
        <v>4.5049335420409628E-4</v>
      </c>
      <c r="D19" s="4">
        <f t="shared" si="0"/>
        <v>9.0098673282455182E-5</v>
      </c>
      <c r="E19" s="4">
        <f t="shared" si="4"/>
        <v>9.0150912080002883E-5</v>
      </c>
    </row>
    <row r="20" spans="1:5">
      <c r="A20" s="14">
        <f t="shared" si="1"/>
        <v>12</v>
      </c>
      <c r="B20" s="4">
        <f t="shared" si="2"/>
        <v>5.4523542931002267E-11</v>
      </c>
      <c r="C20" s="4">
        <f t="shared" si="3"/>
        <v>1.0444612519487861E-3</v>
      </c>
      <c r="D20" s="4">
        <f t="shared" si="0"/>
        <v>2.0889229400859158E-4</v>
      </c>
      <c r="E20" s="4">
        <f t="shared" si="4"/>
        <v>2.0901340880261058E-4</v>
      </c>
    </row>
    <row r="21" spans="1:5">
      <c r="A21" s="14">
        <f t="shared" si="1"/>
        <v>13</v>
      </c>
      <c r="B21" s="4">
        <f t="shared" si="2"/>
        <v>6.5420931308808059E-10</v>
      </c>
      <c r="C21" s="4">
        <f t="shared" si="3"/>
        <v>2.1017712173913754E-3</v>
      </c>
      <c r="D21" s="4">
        <f t="shared" si="0"/>
        <v>4.2035476684572554E-4</v>
      </c>
      <c r="E21" s="4">
        <f t="shared" si="4"/>
        <v>4.2059848661166063E-4</v>
      </c>
    </row>
    <row r="22" spans="1:5">
      <c r="A22" s="14">
        <f t="shared" si="1"/>
        <v>14</v>
      </c>
      <c r="B22" s="4">
        <f t="shared" si="2"/>
        <v>5.6600643493948865E-9</v>
      </c>
      <c r="C22" s="4">
        <f t="shared" si="3"/>
        <v>3.7687611405464506E-3</v>
      </c>
      <c r="D22" s="4">
        <f t="shared" si="0"/>
        <v>7.537567561607697E-4</v>
      </c>
      <c r="E22" s="4">
        <f t="shared" si="4"/>
        <v>7.5419378087102096E-4</v>
      </c>
    </row>
    <row r="23" spans="1:5">
      <c r="A23" s="14">
        <f t="shared" si="1"/>
        <v>15</v>
      </c>
      <c r="B23" s="4">
        <f t="shared" si="2"/>
        <v>3.7294766366548679E-8</v>
      </c>
      <c r="C23" s="4">
        <f t="shared" si="3"/>
        <v>6.1444911863478106E-3</v>
      </c>
      <c r="D23" s="4">
        <f t="shared" si="0"/>
        <v>1.2289280730826556E-3</v>
      </c>
      <c r="E23" s="4">
        <f t="shared" si="4"/>
        <v>1.2296405999431697E-3</v>
      </c>
    </row>
    <row r="24" spans="1:5">
      <c r="A24" s="14">
        <f t="shared" si="1"/>
        <v>16</v>
      </c>
      <c r="B24" s="4">
        <f t="shared" si="2"/>
        <v>1.953552186007571E-7</v>
      </c>
      <c r="C24" s="4">
        <f t="shared" si="3"/>
        <v>9.2528300613026436E-3</v>
      </c>
      <c r="D24" s="4">
        <f t="shared" si="0"/>
        <v>1.8507222964354094E-3</v>
      </c>
      <c r="E24" s="4">
        <f t="shared" si="4"/>
        <v>1.8517953367348753E-3</v>
      </c>
    </row>
    <row r="25" spans="1:5">
      <c r="A25" s="14">
        <f t="shared" si="1"/>
        <v>17</v>
      </c>
      <c r="B25" s="4">
        <f t="shared" si="2"/>
        <v>8.4177384116771402E-7</v>
      </c>
      <c r="C25" s="4">
        <f t="shared" si="3"/>
        <v>1.3030873018160536E-2</v>
      </c>
      <c r="D25" s="4">
        <f t="shared" si="0"/>
        <v>2.6068480227050411E-3</v>
      </c>
      <c r="E25" s="4">
        <f t="shared" si="4"/>
        <v>2.6083594612327627E-3</v>
      </c>
    </row>
    <row r="26" spans="1:5">
      <c r="A26" s="14">
        <f t="shared" si="1"/>
        <v>18</v>
      </c>
      <c r="B26" s="4">
        <f t="shared" si="2"/>
        <v>3.0672437677452421E-6</v>
      </c>
      <c r="C26" s="4">
        <f t="shared" si="3"/>
        <v>1.7335136798414419E-2</v>
      </c>
      <c r="D26" s="4">
        <f t="shared" si="0"/>
        <v>3.4694811546970802E-3</v>
      </c>
      <c r="E26" s="4">
        <f t="shared" si="4"/>
        <v>3.4714927439584179E-3</v>
      </c>
    </row>
    <row r="27" spans="1:5">
      <c r="A27" s="14">
        <f t="shared" si="1"/>
        <v>19</v>
      </c>
      <c r="B27" s="4">
        <f t="shared" si="2"/>
        <v>9.6668613430451814E-6</v>
      </c>
      <c r="C27" s="4">
        <f t="shared" si="3"/>
        <v>2.1961804883945918E-2</v>
      </c>
      <c r="D27" s="4">
        <f t="shared" si="0"/>
        <v>4.4000944658636205E-3</v>
      </c>
      <c r="E27" s="4">
        <f t="shared" si="4"/>
        <v>4.4026456204546809E-3</v>
      </c>
    </row>
    <row r="28" spans="1:5">
      <c r="A28" s="14">
        <f t="shared" si="1"/>
        <v>20</v>
      </c>
      <c r="B28" s="4">
        <f t="shared" si="2"/>
        <v>2.6847694973460313E-5</v>
      </c>
      <c r="C28" s="4">
        <f t="shared" si="3"/>
        <v>2.6674634316698191E-2</v>
      </c>
      <c r="D28" s="4">
        <f t="shared" si="0"/>
        <v>5.356405019318407E-3</v>
      </c>
      <c r="E28" s="4">
        <f t="shared" si="4"/>
        <v>5.3595106383824125E-3</v>
      </c>
    </row>
    <row r="29" spans="1:5">
      <c r="A29" s="14">
        <f t="shared" si="1"/>
        <v>21</v>
      </c>
      <c r="B29" s="4">
        <f t="shared" si="2"/>
        <v>6.6737650090697116E-5</v>
      </c>
      <c r="C29" s="4">
        <f t="shared" si="3"/>
        <v>3.1233958438484765E-2</v>
      </c>
      <c r="D29" s="4">
        <f t="shared" si="0"/>
        <v>6.3001818077695103E-3</v>
      </c>
      <c r="E29" s="4">
        <f t="shared" si="4"/>
        <v>6.3038346242869966E-3</v>
      </c>
    </row>
    <row r="30" spans="1:5">
      <c r="A30" s="14">
        <f t="shared" si="1"/>
        <v>22</v>
      </c>
      <c r="B30" s="4">
        <f t="shared" si="2"/>
        <v>1.5044040525646248E-4</v>
      </c>
      <c r="C30" s="4">
        <f t="shared" si="3"/>
        <v>3.5421693124161838E-2</v>
      </c>
      <c r="D30" s="4">
        <f t="shared" si="0"/>
        <v>7.2046909490375384E-3</v>
      </c>
      <c r="E30" s="4">
        <f t="shared" si="4"/>
        <v>7.2088681958067625E-3</v>
      </c>
    </row>
    <row r="31" spans="1:5">
      <c r="A31" s="14">
        <f t="shared" si="1"/>
        <v>23</v>
      </c>
      <c r="B31" s="4">
        <f t="shared" si="2"/>
        <v>3.1096490919035668E-4</v>
      </c>
      <c r="C31" s="4">
        <f t="shared" si="3"/>
        <v>3.9059388344738231E-2</v>
      </c>
      <c r="D31" s="4">
        <f t="shared" si="0"/>
        <v>8.0606495962999326E-3</v>
      </c>
      <c r="E31" s="4">
        <f t="shared" si="4"/>
        <v>8.0653231239671379E-3</v>
      </c>
    </row>
    <row r="32" spans="1:5">
      <c r="A32" s="14">
        <f t="shared" si="1"/>
        <v>24</v>
      </c>
      <c r="B32" s="4">
        <f t="shared" si="2"/>
        <v>5.9502030028271615E-4</v>
      </c>
      <c r="C32" s="4">
        <f t="shared" si="3"/>
        <v>4.2018403244153749E-2</v>
      </c>
      <c r="D32" s="4">
        <f t="shared" si="0"/>
        <v>8.879696889056923E-3</v>
      </c>
      <c r="E32" s="4">
        <f t="shared" si="4"/>
        <v>8.8848452965880551E-3</v>
      </c>
    </row>
    <row r="33" spans="1:5">
      <c r="A33" s="14">
        <f t="shared" si="1"/>
        <v>25</v>
      </c>
      <c r="B33" s="4">
        <f t="shared" si="2"/>
        <v>1.0625952771245663E-3</v>
      </c>
      <c r="C33" s="4">
        <f t="shared" si="3"/>
        <v>4.4222807787256076E-2</v>
      </c>
      <c r="D33" s="4">
        <f t="shared" si="0"/>
        <v>9.6946377791508696E-3</v>
      </c>
      <c r="E33" s="4">
        <f t="shared" si="4"/>
        <v>9.700258685672496E-3</v>
      </c>
    </row>
    <row r="34" spans="1:5">
      <c r="A34" s="14">
        <f t="shared" si="1"/>
        <v>26</v>
      </c>
      <c r="B34" s="4">
        <f t="shared" si="2"/>
        <v>1.7835407563779658E-3</v>
      </c>
      <c r="C34" s="4">
        <f t="shared" si="3"/>
        <v>4.5646510813897673E-2</v>
      </c>
      <c r="D34" s="4">
        <f t="shared" si="0"/>
        <v>1.0556134767881907E-2</v>
      </c>
      <c r="E34" s="4">
        <f t="shared" si="4"/>
        <v>1.0562255166406499E-2</v>
      </c>
    </row>
    <row r="35" spans="1:5">
      <c r="A35" s="14">
        <f t="shared" si="1"/>
        <v>27</v>
      </c>
      <c r="B35" s="4">
        <f t="shared" si="2"/>
        <v>2.8310072541029921E-3</v>
      </c>
      <c r="C35" s="4">
        <f t="shared" si="3"/>
        <v>4.6306454639409307E-2</v>
      </c>
      <c r="D35" s="4">
        <f t="shared" si="0"/>
        <v>1.1526096731164255E-2</v>
      </c>
      <c r="E35" s="4">
        <f t="shared" si="4"/>
        <v>1.1532779509186601E-2</v>
      </c>
    </row>
    <row r="36" spans="1:5">
      <c r="A36" s="14">
        <f t="shared" si="1"/>
        <v>28</v>
      </c>
      <c r="B36" s="4">
        <f t="shared" si="2"/>
        <v>4.2723775177695008E-3</v>
      </c>
      <c r="C36" s="4">
        <f t="shared" si="3"/>
        <v>4.6253655785212865E-2</v>
      </c>
      <c r="D36" s="4">
        <f t="shared" si="0"/>
        <v>1.2668633171258175E-2</v>
      </c>
      <c r="E36" s="4">
        <f t="shared" si="4"/>
        <v>1.2675978386668446E-2</v>
      </c>
    </row>
    <row r="37" spans="1:5">
      <c r="A37" s="14">
        <f t="shared" si="1"/>
        <v>29</v>
      </c>
      <c r="B37" s="4">
        <f t="shared" si="2"/>
        <v>6.1590377541699184E-3</v>
      </c>
      <c r="C37" s="4">
        <f t="shared" si="3"/>
        <v>4.5563576466425629E-2</v>
      </c>
      <c r="D37" s="4">
        <f t="shared" si="0"/>
        <v>1.4039945496621062E-2</v>
      </c>
      <c r="E37" s="4">
        <f t="shared" si="4"/>
        <v>1.40480857926283E-2</v>
      </c>
    </row>
    <row r="38" spans="1:5">
      <c r="A38" s="14">
        <f t="shared" si="1"/>
        <v>30</v>
      </c>
      <c r="B38" s="4">
        <f t="shared" si="2"/>
        <v>8.5167333090200026E-3</v>
      </c>
      <c r="C38" s="4">
        <f t="shared" si="3"/>
        <v>4.4326920044603618E-2</v>
      </c>
      <c r="D38" s="4">
        <f t="shared" si="0"/>
        <v>1.5678770656136726E-2</v>
      </c>
      <c r="E38" s="4">
        <f t="shared" si="4"/>
        <v>1.5687861135455273E-2</v>
      </c>
    </row>
    <row r="39" spans="1:5">
      <c r="A39" s="14">
        <f t="shared" si="1"/>
        <v>31</v>
      </c>
      <c r="B39" s="4">
        <f t="shared" si="2"/>
        <v>1.1338245862031108E-2</v>
      </c>
      <c r="C39" s="4">
        <f t="shared" si="3"/>
        <v>4.2641551497928559E-2</v>
      </c>
      <c r="D39" s="4">
        <f t="shared" si="0"/>
        <v>1.75989069892106E-2</v>
      </c>
      <c r="E39" s="4">
        <f t="shared" si="4"/>
        <v>1.76091107547687E-2</v>
      </c>
    </row>
    <row r="40" spans="1:5">
      <c r="A40" s="14">
        <f t="shared" si="1"/>
        <v>32</v>
      </c>
      <c r="B40" s="4">
        <f t="shared" si="2"/>
        <v>1.457972746646008E-2</v>
      </c>
      <c r="C40" s="4">
        <f t="shared" si="3"/>
        <v>4.060590633443454E-2</v>
      </c>
      <c r="D40" s="4">
        <f t="shared" ref="D40:D56" si="5">$B$4*B40 + $D$4*C40</f>
        <v>1.9784963240054972E-2</v>
      </c>
      <c r="E40" s="4">
        <f t="shared" si="4"/>
        <v>1.9796434471001354E-2</v>
      </c>
    </row>
    <row r="41" spans="1:5">
      <c r="A41" s="14">
        <f t="shared" si="1"/>
        <v>33</v>
      </c>
      <c r="B41" s="4">
        <f t="shared" si="2"/>
        <v>1.8161357132661204E-2</v>
      </c>
      <c r="C41" s="4">
        <f t="shared" si="3"/>
        <v>3.8313991899695261E-2</v>
      </c>
      <c r="D41" s="4">
        <f t="shared" si="5"/>
        <v>2.2191884086068016E-2</v>
      </c>
      <c r="E41" s="4">
        <f t="shared" si="4"/>
        <v>2.2204750838682005E-2</v>
      </c>
    </row>
    <row r="42" spans="1:5">
      <c r="A42" s="14">
        <f t="shared" si="1"/>
        <v>34</v>
      </c>
      <c r="B42" s="4">
        <f t="shared" si="2"/>
        <v>2.1972226801625434E-2</v>
      </c>
      <c r="C42" s="4">
        <f t="shared" si="3"/>
        <v>3.58519061086063E-2</v>
      </c>
      <c r="D42" s="4">
        <f t="shared" si="5"/>
        <v>2.4748162663021607E-2</v>
      </c>
      <c r="E42" s="4">
        <f t="shared" si="4"/>
        <v>2.4762511534230598E-2</v>
      </c>
    </row>
    <row r="43" spans="1:5">
      <c r="A43" s="14">
        <f t="shared" si="1"/>
        <v>35</v>
      </c>
      <c r="B43" s="4">
        <f t="shared" si="2"/>
        <v>2.5878689309857671E-2</v>
      </c>
      <c r="C43" s="4">
        <f t="shared" si="3"/>
        <v>3.3295690593193338E-2</v>
      </c>
      <c r="D43" s="4">
        <f t="shared" si="5"/>
        <v>2.7362089566524805E-2</v>
      </c>
      <c r="E43" s="4">
        <f t="shared" si="4"/>
        <v>2.737795398056414E-2</v>
      </c>
    </row>
    <row r="44" spans="1:5">
      <c r="A44" s="14">
        <f t="shared" si="1"/>
        <v>36</v>
      </c>
      <c r="B44" s="4">
        <f t="shared" si="2"/>
        <v>2.9734936380041252E-2</v>
      </c>
      <c r="C44" s="4">
        <f t="shared" si="3"/>
        <v>3.0710283185594524E-2</v>
      </c>
      <c r="D44" s="4">
        <f t="shared" si="5"/>
        <v>2.993000574115191E-2</v>
      </c>
      <c r="E44" s="4">
        <f t="shared" si="4"/>
        <v>2.9947359021212004E-2</v>
      </c>
    </row>
    <row r="45" spans="1:5">
      <c r="A45" s="14">
        <f t="shared" si="1"/>
        <v>37</v>
      </c>
      <c r="B45" s="4">
        <f t="shared" si="2"/>
        <v>3.3394375985568388E-2</v>
      </c>
      <c r="C45" s="4">
        <f t="shared" si="3"/>
        <v>2.8149322813264179E-2</v>
      </c>
      <c r="D45" s="4">
        <f t="shared" si="5"/>
        <v>3.2345365351107547E-2</v>
      </c>
      <c r="E45" s="4">
        <f t="shared" si="4"/>
        <v>3.2364119045591881E-2</v>
      </c>
    </row>
    <row r="46" spans="1:5">
      <c r="A46" s="14">
        <f t="shared" si="1"/>
        <v>38</v>
      </c>
      <c r="B46" s="4">
        <f t="shared" si="2"/>
        <v>3.6720435702600092E-2</v>
      </c>
      <c r="C46" s="4">
        <f t="shared" si="3"/>
        <v>2.565557420555507E-2</v>
      </c>
      <c r="D46" s="4">
        <f t="shared" si="5"/>
        <v>3.4507463403191087E-2</v>
      </c>
      <c r="E46" s="4">
        <f t="shared" si="4"/>
        <v>3.4527470672209938E-2</v>
      </c>
    </row>
    <row r="47" spans="1:5">
      <c r="A47" s="14">
        <f t="shared" si="1"/>
        <v>39</v>
      </c>
      <c r="B47" s="4">
        <f t="shared" si="2"/>
        <v>3.9595673963560458E-2</v>
      </c>
      <c r="C47" s="4">
        <f t="shared" si="3"/>
        <v>2.3261768986312433E-2</v>
      </c>
      <c r="D47" s="4">
        <f t="shared" si="5"/>
        <v>3.6328892968110857E-2</v>
      </c>
      <c r="E47" s="4">
        <f t="shared" si="4"/>
        <v>3.634995629363779E-2</v>
      </c>
    </row>
    <row r="48" spans="1:5">
      <c r="A48" s="14">
        <f t="shared" si="1"/>
        <v>40</v>
      </c>
      <c r="B48" s="4">
        <f t="shared" si="2"/>
        <v>4.1928452782596125E-2</v>
      </c>
      <c r="C48" s="4">
        <f t="shared" si="3"/>
        <v>2.0991695404890306E-2</v>
      </c>
      <c r="D48" s="4">
        <f t="shared" si="5"/>
        <v>3.7741101307054964E-2</v>
      </c>
      <c r="E48" s="4">
        <f t="shared" si="4"/>
        <v>3.7762983424499977E-2</v>
      </c>
    </row>
    <row r="49" spans="1:5">
      <c r="A49" s="14">
        <f t="shared" si="1"/>
        <v>41</v>
      </c>
      <c r="B49" s="4">
        <f t="shared" si="2"/>
        <v>4.3656830597820738E-2</v>
      </c>
      <c r="C49" s="4">
        <f t="shared" si="3"/>
        <v>1.8861405463909374E-2</v>
      </c>
      <c r="D49" s="4">
        <f t="shared" si="5"/>
        <v>3.8697745571038465E-2</v>
      </c>
      <c r="E49" s="4">
        <f t="shared" si="4"/>
        <v>3.8720182346440257E-2</v>
      </c>
    </row>
    <row r="50" spans="1:5">
      <c r="A50" s="14">
        <f t="shared" si="1"/>
        <v>42</v>
      </c>
      <c r="B50" s="4">
        <f t="shared" si="2"/>
        <v>4.4749704259734464E-2</v>
      </c>
      <c r="C50" s="4">
        <f t="shared" si="3"/>
        <v>1.688044204239646E-2</v>
      </c>
      <c r="D50" s="4">
        <f t="shared" si="5"/>
        <v>3.9175851816266864E-2</v>
      </c>
      <c r="E50" s="4">
        <f t="shared" si="4"/>
        <v>3.919856579547689E-2</v>
      </c>
    </row>
    <row r="51" spans="1:5">
      <c r="A51" s="14">
        <f t="shared" si="1"/>
        <v>43</v>
      </c>
      <c r="B51" s="4">
        <f t="shared" si="2"/>
        <v>4.5205519820707647E-2</v>
      </c>
      <c r="C51" s="4">
        <f t="shared" si="3"/>
        <v>1.5053017933617739E-2</v>
      </c>
      <c r="D51" s="4">
        <f t="shared" si="5"/>
        <v>3.9175019443289667E-2</v>
      </c>
      <c r="E51" s="4">
        <f t="shared" si="4"/>
        <v>3.9197732939893655E-2</v>
      </c>
    </row>
    <row r="52" spans="1:5">
      <c r="A52" s="14">
        <f t="shared" si="1"/>
        <v>44</v>
      </c>
      <c r="B52" s="4">
        <f t="shared" si="2"/>
        <v>4.5049061826044678E-2</v>
      </c>
      <c r="C52" s="4">
        <f t="shared" si="3"/>
        <v>1.3379102810328541E-2</v>
      </c>
      <c r="D52" s="4">
        <f t="shared" si="5"/>
        <v>3.8715070022901456E-2</v>
      </c>
      <c r="E52" s="4">
        <f t="shared" si="4"/>
        <v>3.8737516842940981E-2</v>
      </c>
    </row>
    <row r="53" spans="1:5">
      <c r="A53" s="14">
        <f t="shared" si="1"/>
        <v>45</v>
      </c>
      <c r="B53" s="4">
        <f t="shared" si="2"/>
        <v>4.4326920044603618E-2</v>
      </c>
      <c r="C53" s="4">
        <f t="shared" si="3"/>
        <v>1.1855393029643668E-2</v>
      </c>
      <c r="D53" s="4">
        <f t="shared" si="5"/>
        <v>3.7832614641611632E-2</v>
      </c>
      <c r="E53" s="4">
        <f t="shared" si="4"/>
        <v>3.7854549818068309E-2</v>
      </c>
    </row>
    <row r="54" spans="1:5">
      <c r="A54" s="14">
        <f t="shared" si="1"/>
        <v>46</v>
      </c>
      <c r="B54" s="4">
        <f t="shared" si="2"/>
        <v>4.3102235239297196E-2</v>
      </c>
      <c r="C54" s="4">
        <f t="shared" si="3"/>
        <v>1.0476153360626184E-2</v>
      </c>
      <c r="D54" s="4">
        <f t="shared" si="5"/>
        <v>3.6577018863562995E-2</v>
      </c>
      <c r="E54" s="4">
        <f t="shared" si="4"/>
        <v>3.6598226051346126E-2</v>
      </c>
    </row>
    <row r="55" spans="1:5">
      <c r="A55" s="14">
        <f t="shared" si="1"/>
        <v>47</v>
      </c>
      <c r="B55" s="22">
        <f t="shared" si="2"/>
        <v>4.1449263768117625E-2</v>
      </c>
      <c r="C55" s="23">
        <f t="shared" si="3"/>
        <v>9.2339298369732634E-3</v>
      </c>
      <c r="D55" s="23">
        <f t="shared" si="5"/>
        <v>3.5006196981888754E-2</v>
      </c>
      <c r="E55" s="4">
        <f t="shared" si="4"/>
        <v>3.5026493414349186E-2</v>
      </c>
    </row>
    <row r="56" spans="1:5">
      <c r="A56" s="14">
        <f t="shared" si="1"/>
        <v>48</v>
      </c>
      <c r="B56" s="22">
        <f t="shared" ref="B56:B93" si="6">IF(A56&gt;0,_xlfn.LOGNORM.DIST(A56,$B$2,$B$3,FALSE),0)</f>
        <v>3.944819879865899E-2</v>
      </c>
      <c r="C56" s="23">
        <f t="shared" ref="C56:C93" si="7">IF(A56&gt;0,_xlfn.LOGNORM.DIST(A56,$D$2,$D$3,FALSE),0)</f>
        <v>8.1201397463927256E-3</v>
      </c>
      <c r="D56" s="23">
        <f t="shared" ref="D56:D93" si="8">$B$4*B56 + $D$4*C56</f>
        <v>3.3182586988205739E-2</v>
      </c>
      <c r="E56" s="4">
        <f t="shared" si="4"/>
        <v>3.3201826099955492E-2</v>
      </c>
    </row>
    <row r="57" spans="1:5">
      <c r="A57" s="14">
        <f t="shared" si="1"/>
        <v>49</v>
      </c>
      <c r="B57" s="22">
        <f t="shared" si="6"/>
        <v>3.7180566024861035E-2</v>
      </c>
      <c r="C57" s="23">
        <f t="shared" si="7"/>
        <v>7.1255489828620875E-3</v>
      </c>
      <c r="D57" s="23">
        <f t="shared" si="8"/>
        <v>3.1169562616461245E-2</v>
      </c>
      <c r="E57" s="4">
        <f t="shared" si="4"/>
        <v>3.1187634585912637E-2</v>
      </c>
    </row>
    <row r="58" spans="1:5">
      <c r="A58" s="14">
        <f t="shared" si="1"/>
        <v>50</v>
      </c>
      <c r="B58" s="22">
        <f t="shared" si="6"/>
        <v>3.4725391904983867E-2</v>
      </c>
      <c r="C58" s="23">
        <f t="shared" si="7"/>
        <v>6.240649247429203E-3</v>
      </c>
      <c r="D58" s="23">
        <f t="shared" si="8"/>
        <v>2.9028443373472934E-2</v>
      </c>
      <c r="E58" s="4">
        <f t="shared" si="4"/>
        <v>2.9045273931807104E-2</v>
      </c>
    </row>
    <row r="59" spans="1:5">
      <c r="A59" s="14">
        <f t="shared" si="1"/>
        <v>51</v>
      </c>
      <c r="B59" s="22">
        <f t="shared" si="6"/>
        <v>3.215623514466337E-2</v>
      </c>
      <c r="C59" s="23">
        <f t="shared" si="7"/>
        <v>5.4559484290868099E-3</v>
      </c>
      <c r="D59" s="23">
        <f t="shared" si="8"/>
        <v>2.6816177801548057E-2</v>
      </c>
      <c r="E59" s="4">
        <f t="shared" si="4"/>
        <v>2.6831725698449785E-2</v>
      </c>
    </row>
    <row r="60" spans="1:5">
      <c r="A60" s="14">
        <f t="shared" si="1"/>
        <v>52</v>
      </c>
      <c r="B60" s="22">
        <f t="shared" si="6"/>
        <v>2.953908474594125E-2</v>
      </c>
      <c r="C60" s="23">
        <f t="shared" si="7"/>
        <v>4.7621873689149162E-3</v>
      </c>
      <c r="D60" s="23">
        <f t="shared" si="8"/>
        <v>2.4583705270535983E-2</v>
      </c>
      <c r="E60" s="4">
        <f t="shared" si="4"/>
        <v>2.4597958790103066E-2</v>
      </c>
    </row>
    <row r="61" spans="1:5">
      <c r="A61" s="14">
        <f t="shared" si="1"/>
        <v>53</v>
      </c>
      <c r="B61" s="22">
        <f t="shared" si="6"/>
        <v>2.6931063318281687E-2</v>
      </c>
      <c r="C61" s="23">
        <f t="shared" si="7"/>
        <v>4.1504954516964005E-3</v>
      </c>
      <c r="D61" s="23">
        <f t="shared" si="8"/>
        <v>2.237494974496463E-2</v>
      </c>
      <c r="E61" s="4">
        <f t="shared" si="4"/>
        <v>2.238792263820805E-2</v>
      </c>
    </row>
    <row r="62" spans="1:5">
      <c r="A62" s="14">
        <f t="shared" si="1"/>
        <v>54</v>
      </c>
      <c r="B62" s="22">
        <f t="shared" si="6"/>
        <v>2.437983206375182E-2</v>
      </c>
      <c r="C62" s="23">
        <f t="shared" si="7"/>
        <v>3.6124963389608414E-3</v>
      </c>
      <c r="D62" s="23">
        <f t="shared" si="8"/>
        <v>2.0226364918793625E-2</v>
      </c>
      <c r="E62" s="4">
        <f t="shared" si="4"/>
        <v>2.0238092072408932E-2</v>
      </c>
    </row>
    <row r="63" spans="1:5">
      <c r="A63" s="14">
        <f t="shared" si="1"/>
        <v>55</v>
      </c>
      <c r="B63" s="22">
        <f t="shared" si="6"/>
        <v>2.192357129307497E-2</v>
      </c>
      <c r="C63" s="23">
        <f t="shared" si="7"/>
        <v>3.1403738448580057E-3</v>
      </c>
      <c r="D63" s="23">
        <f t="shared" si="8"/>
        <v>1.8166931803431579E-2</v>
      </c>
      <c r="E63" s="4">
        <f t="shared" si="4"/>
        <v>1.8177464907171821E-2</v>
      </c>
    </row>
    <row r="64" spans="1:5">
      <c r="A64" s="14">
        <f t="shared" si="1"/>
        <v>56</v>
      </c>
      <c r="B64" s="22">
        <f t="shared" si="6"/>
        <v>1.9591403728387607E-2</v>
      </c>
      <c r="C64" s="23">
        <f t="shared" si="7"/>
        <v>2.7269065936153612E-3</v>
      </c>
      <c r="D64" s="23">
        <f t="shared" si="8"/>
        <v>1.6218504301433161E-2</v>
      </c>
      <c r="E64" s="4">
        <f t="shared" si="4"/>
        <v>1.622790771584386E-2</v>
      </c>
    </row>
    <row r="65" spans="1:5">
      <c r="A65" s="14">
        <f t="shared" si="1"/>
        <v>57</v>
      </c>
      <c r="B65" s="22">
        <f t="shared" si="6"/>
        <v>1.7404133064267066E-2</v>
      </c>
      <c r="C65" s="23">
        <f t="shared" si="7"/>
        <v>2.3654787725944193E-3</v>
      </c>
      <c r="D65" s="23">
        <f t="shared" si="8"/>
        <v>1.4396402205932537E-2</v>
      </c>
      <c r="E65" s="4">
        <f t="shared" si="4"/>
        <v>1.440474917390501E-2</v>
      </c>
    </row>
    <row r="66" spans="1:5">
      <c r="A66" s="14">
        <f t="shared" si="1"/>
        <v>58</v>
      </c>
      <c r="B66" s="22">
        <f t="shared" si="6"/>
        <v>1.5375183346510822E-2</v>
      </c>
      <c r="C66" s="23">
        <f t="shared" si="7"/>
        <v>2.0500730627346924E-3</v>
      </c>
      <c r="D66" s="23">
        <f t="shared" si="8"/>
        <v>1.2710161289755597E-2</v>
      </c>
      <c r="E66" s="4">
        <f t="shared" si="4"/>
        <v>1.2717530582978514E-2</v>
      </c>
    </row>
    <row r="67" spans="1:5">
      <c r="A67" s="14">
        <f t="shared" si="1"/>
        <v>59</v>
      </c>
      <c r="B67" s="22">
        <f t="shared" si="6"/>
        <v>1.3511642275577947E-2</v>
      </c>
      <c r="C67" s="23">
        <f t="shared" si="7"/>
        <v>1.7752507186365575E-3</v>
      </c>
      <c r="D67" s="23">
        <f t="shared" si="8"/>
        <v>1.1164363964189671E-2</v>
      </c>
      <c r="E67" s="4">
        <f t="shared" si="4"/>
        <v>1.1170837011212747E-2</v>
      </c>
    </row>
    <row r="68" spans="1:5">
      <c r="A68" s="14">
        <f t="shared" si="1"/>
        <v>60</v>
      </c>
      <c r="B68" s="22">
        <f t="shared" si="6"/>
        <v>1.1815330827274581E-2</v>
      </c>
      <c r="C68" s="23">
        <f t="shared" si="7"/>
        <v>1.5361227965869576E-3</v>
      </c>
      <c r="D68" s="23">
        <f t="shared" si="8"/>
        <v>9.7594892211370562E-3</v>
      </c>
      <c r="E68" s="4">
        <f t="shared" si="4"/>
        <v>9.7651477282273171E-3</v>
      </c>
    </row>
    <row r="69" spans="1:5">
      <c r="A69" s="14">
        <f t="shared" si="1"/>
        <v>61</v>
      </c>
      <c r="B69" s="22">
        <f t="shared" si="6"/>
        <v>1.0283840606255576E-2</v>
      </c>
      <c r="C69" s="23">
        <f t="shared" si="7"/>
        <v>1.328315691668607E-3</v>
      </c>
      <c r="D69" s="23">
        <f t="shared" si="8"/>
        <v>8.4927356233381809E-3</v>
      </c>
      <c r="E69" s="4">
        <f t="shared" si="4"/>
        <v>8.4976596725021766E-3</v>
      </c>
    </row>
    <row r="70" spans="1:5">
      <c r="A70" s="14">
        <f t="shared" si="1"/>
        <v>62</v>
      </c>
      <c r="B70" s="22">
        <f t="shared" si="6"/>
        <v>8.9114977714315115E-3</v>
      </c>
      <c r="C70" s="23">
        <f t="shared" si="7"/>
        <v>1.147933438391989E-3</v>
      </c>
      <c r="D70" s="23">
        <f t="shared" si="8"/>
        <v>7.3587849048236077E-3</v>
      </c>
      <c r="E70" s="4">
        <f t="shared" si="4"/>
        <v>7.3630514945616718E-3</v>
      </c>
    </row>
    <row r="71" spans="1:5">
      <c r="A71" s="14">
        <f t="shared" si="1"/>
        <v>63</v>
      </c>
      <c r="B71" s="22">
        <f t="shared" si="6"/>
        <v>7.6902274204360731E-3</v>
      </c>
      <c r="C71" s="23">
        <f t="shared" si="7"/>
        <v>9.9151864229253474E-4</v>
      </c>
      <c r="D71" s="23">
        <f t="shared" si="8"/>
        <v>6.3504856648073657E-3</v>
      </c>
      <c r="E71" s="4">
        <f t="shared" si="4"/>
        <v>6.3541676472704525E-3</v>
      </c>
    </row>
    <row r="72" spans="1:5">
      <c r="A72" s="14">
        <f t="shared" si="1"/>
        <v>64</v>
      </c>
      <c r="B72" s="22">
        <f t="shared" si="6"/>
        <v>6.610304656188796E-3</v>
      </c>
      <c r="C72" s="23">
        <f t="shared" si="7"/>
        <v>8.5601342964341371E-4</v>
      </c>
      <c r="D72" s="23">
        <f t="shared" si="8"/>
        <v>5.4594464108797197E-3</v>
      </c>
      <c r="E72" s="4">
        <f t="shared" si="4"/>
        <v>5.462611772869972E-3</v>
      </c>
    </row>
    <row r="73" spans="1:5">
      <c r="A73" s="14">
        <f t="shared" ref="A73:A93" si="9">A72+$F$2</f>
        <v>65</v>
      </c>
      <c r="B73" s="22">
        <f t="shared" si="6"/>
        <v>5.6609881644676492E-3</v>
      </c>
      <c r="C73" s="23">
        <f t="shared" si="7"/>
        <v>7.3872141510617688E-4</v>
      </c>
      <c r="D73" s="23">
        <f t="shared" si="8"/>
        <v>4.6765348145953551E-3</v>
      </c>
      <c r="E73" s="4">
        <f t="shared" ref="E73:E93" si="10">IF($D$94&gt;0, D73/$D$94, 0)</f>
        <v>4.679246248032766E-3</v>
      </c>
    </row>
    <row r="74" spans="1:5">
      <c r="A74" s="14">
        <f t="shared" si="9"/>
        <v>66</v>
      </c>
      <c r="B74" s="22">
        <f t="shared" si="6"/>
        <v>4.8310392013583801E-3</v>
      </c>
      <c r="C74" s="23">
        <f t="shared" si="7"/>
        <v>6.372713792886836E-4</v>
      </c>
      <c r="D74" s="23">
        <f t="shared" si="8"/>
        <v>3.9922856369444407E-3</v>
      </c>
      <c r="E74" s="4">
        <f t="shared" si="10"/>
        <v>3.9946003458468365E-3</v>
      </c>
    </row>
    <row r="75" spans="1:5">
      <c r="A75" s="14">
        <f t="shared" si="9"/>
        <v>67</v>
      </c>
      <c r="B75" s="22">
        <f t="shared" si="6"/>
        <v>4.1091337412776374E-3</v>
      </c>
      <c r="C75" s="23">
        <f t="shared" si="7"/>
        <v>5.4958310716985781E-4</v>
      </c>
      <c r="D75" s="23">
        <f t="shared" si="8"/>
        <v>3.3972236144560815E-3</v>
      </c>
      <c r="E75" s="4">
        <f t="shared" si="10"/>
        <v>3.399193309126984E-3</v>
      </c>
    </row>
    <row r="76" spans="1:5">
      <c r="A76" s="14">
        <f t="shared" si="9"/>
        <v>68</v>
      </c>
      <c r="B76" s="22">
        <f t="shared" si="6"/>
        <v>3.4841785439039402E-3</v>
      </c>
      <c r="C76" s="23">
        <f t="shared" si="7"/>
        <v>4.7383565274806917E-4</v>
      </c>
      <c r="D76" s="23">
        <f t="shared" si="8"/>
        <v>2.8821099656727665E-3</v>
      </c>
      <c r="E76" s="4">
        <f t="shared" si="10"/>
        <v>2.8837809998125811E-3</v>
      </c>
    </row>
    <row r="77" spans="1:5">
      <c r="A77" s="14">
        <f t="shared" si="9"/>
        <v>69</v>
      </c>
      <c r="B77" s="22">
        <f t="shared" si="6"/>
        <v>2.9455434434778787E-3</v>
      </c>
      <c r="C77" s="23">
        <f t="shared" si="7"/>
        <v>4.0843815498004096E-4</v>
      </c>
      <c r="D77" s="23">
        <f t="shared" si="8"/>
        <v>2.4381223857783112E-3</v>
      </c>
      <c r="E77" s="4">
        <f t="shared" si="10"/>
        <v>2.4395359979555728E-3</v>
      </c>
    </row>
    <row r="78" spans="1:5">
      <c r="A78" s="14">
        <f t="shared" si="9"/>
        <v>70</v>
      </c>
      <c r="B78" s="22">
        <f t="shared" si="6"/>
        <v>2.4832226042368079E-3</v>
      </c>
      <c r="C78" s="23">
        <f t="shared" si="7"/>
        <v>3.5200322637271201E-4</v>
      </c>
      <c r="D78" s="23">
        <f t="shared" si="8"/>
        <v>2.0569787286639891E-3</v>
      </c>
      <c r="E78" s="4">
        <f t="shared" si="10"/>
        <v>2.0581713554969029E-3</v>
      </c>
    </row>
    <row r="79" spans="1:5">
      <c r="A79" s="14">
        <f t="shared" si="9"/>
        <v>71</v>
      </c>
      <c r="B79" s="22">
        <f t="shared" si="6"/>
        <v>2.0879371364477916E-3</v>
      </c>
      <c r="C79" s="23">
        <f t="shared" si="7"/>
        <v>3.0332286105135822E-4</v>
      </c>
      <c r="D79" s="23">
        <f t="shared" si="8"/>
        <v>1.731014281368505E-3</v>
      </c>
      <c r="E79" s="4">
        <f t="shared" si="10"/>
        <v>1.7320179155098545E-3</v>
      </c>
    </row>
    <row r="80" spans="1:5">
      <c r="A80" s="14">
        <f t="shared" si="9"/>
        <v>72</v>
      </c>
      <c r="B80" s="22">
        <f t="shared" si="6"/>
        <v>1.7511905928712405E-3</v>
      </c>
      <c r="C80" s="23">
        <f t="shared" si="7"/>
        <v>2.6134675753758803E-4</v>
      </c>
      <c r="D80" s="23">
        <f t="shared" si="8"/>
        <v>1.45322182580451E-3</v>
      </c>
      <c r="E80" s="4">
        <f t="shared" si="10"/>
        <v>1.4540643971541691E-3</v>
      </c>
    </row>
    <row r="81" spans="1:5">
      <c r="A81" s="14">
        <f t="shared" si="9"/>
        <v>73</v>
      </c>
      <c r="B81" s="22">
        <f t="shared" si="6"/>
        <v>1.4652876774171404E-3</v>
      </c>
      <c r="C81" s="23">
        <f t="shared" si="7"/>
        <v>2.2516291769188941E-4</v>
      </c>
      <c r="D81" s="23">
        <f t="shared" si="8"/>
        <v>1.2172627254720904E-3</v>
      </c>
      <c r="E81" s="4">
        <f t="shared" si="10"/>
        <v>1.2179684888175611E-3</v>
      </c>
    </row>
    <row r="82" spans="1:5">
      <c r="A82" s="14">
        <f t="shared" si="9"/>
        <v>74</v>
      </c>
      <c r="B82" s="22">
        <f t="shared" si="6"/>
        <v>1.2233251588324597E-3</v>
      </c>
      <c r="C82" s="23">
        <f t="shared" si="7"/>
        <v>1.9398036310908757E-4</v>
      </c>
      <c r="D82" s="23">
        <f t="shared" si="8"/>
        <v>1.0174561996877853E-3</v>
      </c>
      <c r="E82" s="4">
        <f t="shared" si="10"/>
        <v>1.0180461161259831E-3</v>
      </c>
    </row>
    <row r="83" spans="1:5">
      <c r="A83" s="14">
        <f t="shared" si="9"/>
        <v>75</v>
      </c>
      <c r="B83" s="22">
        <f t="shared" si="6"/>
        <v>1.0191626114770774E-3</v>
      </c>
      <c r="C83" s="23">
        <f t="shared" si="7"/>
        <v>1.6711380031180661E-4</v>
      </c>
      <c r="D83" s="23">
        <f t="shared" si="8"/>
        <v>8.4875284924402334E-4</v>
      </c>
      <c r="E83" s="4">
        <f t="shared" si="10"/>
        <v>8.4924495225336164E-4</v>
      </c>
    </row>
    <row r="84" spans="1:5">
      <c r="A84" s="14">
        <f t="shared" si="9"/>
        <v>76</v>
      </c>
      <c r="B84" s="22">
        <f t="shared" si="6"/>
        <v>8.4737928488881923E-4</v>
      </c>
      <c r="C84" s="23">
        <f t="shared" si="7"/>
        <v>1.4397006366003256E-4</v>
      </c>
      <c r="D84" s="23">
        <f t="shared" si="8"/>
        <v>7.0669744064306191E-4</v>
      </c>
      <c r="E84" s="4">
        <f t="shared" si="10"/>
        <v>7.0710718057800514E-4</v>
      </c>
    </row>
    <row r="85" spans="1:5">
      <c r="A85" s="14">
        <f t="shared" si="9"/>
        <v>77</v>
      </c>
      <c r="B85" s="22">
        <f t="shared" si="6"/>
        <v>7.0322218657730047E-4</v>
      </c>
      <c r="C85" s="23">
        <f t="shared" si="7"/>
        <v>1.2403616784767966E-4</v>
      </c>
      <c r="D85" s="23">
        <f t="shared" si="8"/>
        <v>5.8738498283137633E-4</v>
      </c>
      <c r="E85" s="4">
        <f t="shared" si="10"/>
        <v>5.8772554595048565E-4</v>
      </c>
    </row>
    <row r="86" spans="1:5">
      <c r="A86" s="14">
        <f t="shared" si="9"/>
        <v>78</v>
      </c>
      <c r="B86" s="22">
        <f t="shared" si="6"/>
        <v>5.8254937804623919E-4</v>
      </c>
      <c r="C86" s="23">
        <f t="shared" si="7"/>
        <v>1.0686880852264546E-4</v>
      </c>
      <c r="D86" s="23">
        <f t="shared" si="8"/>
        <v>4.8741326414152047E-4</v>
      </c>
      <c r="E86" s="4">
        <f t="shared" si="10"/>
        <v>4.8769586411663584E-4</v>
      </c>
    </row>
    <row r="87" spans="1:5">
      <c r="A87" s="14">
        <f t="shared" si="9"/>
        <v>79</v>
      </c>
      <c r="B87" s="22">
        <f t="shared" si="6"/>
        <v>4.8177154511809073E-4</v>
      </c>
      <c r="C87" s="23">
        <f t="shared" si="7"/>
        <v>9.208515866204193E-5</v>
      </c>
      <c r="D87" s="23">
        <f t="shared" si="8"/>
        <v>4.03834267826881E-4</v>
      </c>
      <c r="E87" s="4">
        <f t="shared" si="10"/>
        <v>4.0406840908325327E-4</v>
      </c>
    </row>
    <row r="88" spans="1:5">
      <c r="A88" s="14">
        <f t="shared" si="9"/>
        <v>80</v>
      </c>
      <c r="B88" s="22">
        <f t="shared" si="6"/>
        <v>3.977941108502362E-4</v>
      </c>
      <c r="C88" s="23">
        <f t="shared" si="7"/>
        <v>7.9354818884694658E-5</v>
      </c>
      <c r="D88" s="23">
        <f t="shared" si="8"/>
        <v>3.3410625245712788E-4</v>
      </c>
      <c r="E88" s="4">
        <f t="shared" si="10"/>
        <v>3.3429996572998386E-4</v>
      </c>
    </row>
    <row r="89" spans="1:5">
      <c r="A89" s="14">
        <f t="shared" si="9"/>
        <v>81</v>
      </c>
      <c r="B89" s="22">
        <f t="shared" si="6"/>
        <v>3.2796150528535803E-4</v>
      </c>
      <c r="C89" s="23">
        <f t="shared" si="7"/>
        <v>6.8392791161703593E-5</v>
      </c>
      <c r="D89" s="23">
        <f t="shared" si="8"/>
        <v>2.7604776246062715E-4</v>
      </c>
      <c r="E89" s="4">
        <f t="shared" si="10"/>
        <v>2.7620781368725808E-4</v>
      </c>
    </row>
    <row r="90" spans="1:5">
      <c r="A90" s="14">
        <f t="shared" si="9"/>
        <v>82</v>
      </c>
      <c r="B90" s="22">
        <f t="shared" si="6"/>
        <v>2.7000467866922565E-4</v>
      </c>
      <c r="C90" s="23">
        <f t="shared" si="7"/>
        <v>5.895335686148273E-5</v>
      </c>
      <c r="D90" s="23">
        <f t="shared" si="8"/>
        <v>2.2779441430767705E-4</v>
      </c>
      <c r="E90" s="4">
        <f t="shared" si="10"/>
        <v>2.2792648846435426E-4</v>
      </c>
    </row>
    <row r="91" spans="1:5">
      <c r="A91" s="14">
        <f t="shared" si="9"/>
        <v>83</v>
      </c>
      <c r="B91" s="22">
        <f t="shared" si="6"/>
        <v>2.2199252874843941E-4</v>
      </c>
      <c r="C91" s="23">
        <f t="shared" si="7"/>
        <v>5.0824751359653504E-5</v>
      </c>
      <c r="D91" s="23">
        <f t="shared" si="8"/>
        <v>1.8775897327068226E-4</v>
      </c>
      <c r="E91" s="4">
        <f t="shared" si="10"/>
        <v>1.8786783506226159E-4</v>
      </c>
    </row>
    <row r="92" spans="1:5">
      <c r="A92" s="14">
        <f t="shared" si="9"/>
        <v>84</v>
      </c>
      <c r="B92" s="22">
        <f t="shared" si="6"/>
        <v>1.8228759262593094E-4</v>
      </c>
      <c r="C92" s="23">
        <f t="shared" si="7"/>
        <v>4.3824538296761101E-5</v>
      </c>
      <c r="D92" s="23">
        <f t="shared" si="8"/>
        <v>1.5459498176009697E-4</v>
      </c>
      <c r="E92" s="4">
        <f t="shared" si="10"/>
        <v>1.5468461522149919E-4</v>
      </c>
    </row>
    <row r="93" spans="1:5" ht="16" thickBot="1">
      <c r="A93" s="15">
        <f t="shared" si="9"/>
        <v>85</v>
      </c>
      <c r="B93" s="24">
        <f t="shared" si="6"/>
        <v>1.4950611399439657E-4</v>
      </c>
      <c r="C93" s="12">
        <f t="shared" si="7"/>
        <v>3.7795596808465792E-5</v>
      </c>
      <c r="D93" s="12">
        <f t="shared" si="8"/>
        <v>1.2716401055721041E-4</v>
      </c>
      <c r="E93" s="12">
        <f t="shared" si="10"/>
        <v>1.2723773966731645E-4</v>
      </c>
    </row>
    <row r="94" spans="1:5">
      <c r="A94" s="16" t="s">
        <v>9</v>
      </c>
      <c r="B94" s="11">
        <f>SUM(B8:B93)</f>
        <v>0.99933575946369835</v>
      </c>
      <c r="C94" s="11">
        <f>SUM(C8:C93)</f>
        <v>0.99975966491646229</v>
      </c>
      <c r="D94" s="11">
        <f>SUM(D8:D93)</f>
        <v>0.99942054055425045</v>
      </c>
      <c r="E94" s="11">
        <f>SUM(E8:E93)</f>
        <v>1.0000000000000007</v>
      </c>
    </row>
  </sheetData>
  <mergeCells count="2">
    <mergeCell ref="A1:E1"/>
    <mergeCell ref="T1:U1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"/>
  <sheetViews>
    <sheetView zoomScale="75" workbookViewId="0">
      <selection activeCell="D4" sqref="D4"/>
    </sheetView>
  </sheetViews>
  <sheetFormatPr baseColWidth="10" defaultColWidth="8.83203125" defaultRowHeight="15"/>
  <cols>
    <col min="1" max="1" width="13.33203125" customWidth="1"/>
    <col min="2" max="3" width="16" customWidth="1"/>
    <col min="4" max="4" width="11.83203125" bestFit="1" customWidth="1"/>
    <col min="5" max="5" width="13.1640625" customWidth="1"/>
    <col min="6" max="6" width="12.83203125" customWidth="1"/>
    <col min="7" max="7" width="14" customWidth="1"/>
    <col min="9" max="9" width="13.1640625" customWidth="1"/>
    <col min="20" max="20" width="5.33203125" bestFit="1" customWidth="1"/>
    <col min="21" max="21" width="54.1640625" bestFit="1" customWidth="1"/>
  </cols>
  <sheetData>
    <row r="1" spans="1:22" ht="19" thickBot="1">
      <c r="A1" s="18" t="s">
        <v>10</v>
      </c>
      <c r="B1" s="19"/>
      <c r="C1" s="19"/>
      <c r="D1" s="19"/>
      <c r="E1" s="19"/>
      <c r="J1" t="s">
        <v>19</v>
      </c>
      <c r="T1" s="20" t="s">
        <v>5</v>
      </c>
      <c r="U1" s="21"/>
      <c r="V1" s="6"/>
    </row>
    <row r="2" spans="1:22" ht="18">
      <c r="A2" t="s">
        <v>11</v>
      </c>
      <c r="B2" s="4">
        <f>LN(J2)</f>
        <v>3.6888794541139363</v>
      </c>
      <c r="C2" t="s">
        <v>13</v>
      </c>
      <c r="D2" s="5">
        <f>LN(J3)</f>
        <v>3.2188758248682006</v>
      </c>
      <c r="E2" t="s">
        <v>22</v>
      </c>
      <c r="F2" s="4">
        <v>1</v>
      </c>
      <c r="I2" t="s">
        <v>17</v>
      </c>
      <c r="J2">
        <v>40</v>
      </c>
      <c r="L2" s="3"/>
      <c r="T2" s="7">
        <v>0.2</v>
      </c>
      <c r="U2" s="8" t="s">
        <v>6</v>
      </c>
      <c r="V2" s="6"/>
    </row>
    <row r="3" spans="1:22" ht="18">
      <c r="A3" t="s">
        <v>12</v>
      </c>
      <c r="B3" s="4">
        <v>0.4</v>
      </c>
      <c r="C3" t="s">
        <v>14</v>
      </c>
      <c r="D3" s="4">
        <v>0.2</v>
      </c>
      <c r="F3" s="4"/>
      <c r="I3" t="s">
        <v>18</v>
      </c>
      <c r="J3">
        <v>25</v>
      </c>
      <c r="L3" s="3">
        <f>J2*B4+J3*D4</f>
        <v>29.5</v>
      </c>
      <c r="M3" s="27" t="s">
        <v>29</v>
      </c>
      <c r="T3" s="7">
        <v>0.5</v>
      </c>
      <c r="U3" s="8" t="s">
        <v>7</v>
      </c>
      <c r="V3" s="6"/>
    </row>
    <row r="4" spans="1:22" ht="19" thickBot="1">
      <c r="A4" t="s">
        <v>0</v>
      </c>
      <c r="B4" s="4">
        <v>0.3</v>
      </c>
      <c r="C4" t="s">
        <v>1</v>
      </c>
      <c r="D4" s="4">
        <v>0.7</v>
      </c>
      <c r="E4" t="s">
        <v>21</v>
      </c>
      <c r="F4" s="4">
        <v>85</v>
      </c>
      <c r="T4" s="9">
        <v>1</v>
      </c>
      <c r="U4" s="10" t="s">
        <v>8</v>
      </c>
      <c r="V4" s="6"/>
    </row>
    <row r="5" spans="1:22">
      <c r="A5" t="s">
        <v>2</v>
      </c>
      <c r="B5" s="4">
        <f>B4+D4</f>
        <v>1</v>
      </c>
      <c r="F5" s="4"/>
    </row>
    <row r="6" spans="1:22">
      <c r="A6" s="1"/>
    </row>
    <row r="7" spans="1:22" ht="16" thickBot="1">
      <c r="A7" s="2" t="s">
        <v>20</v>
      </c>
      <c r="B7" s="2" t="s">
        <v>15</v>
      </c>
      <c r="C7" s="2" t="s">
        <v>16</v>
      </c>
      <c r="D7" s="2" t="s">
        <v>3</v>
      </c>
      <c r="E7" s="2" t="s">
        <v>4</v>
      </c>
    </row>
    <row r="8" spans="1:22">
      <c r="A8" s="13">
        <v>0</v>
      </c>
      <c r="B8" s="4">
        <f>IF(A8&gt;0,_xlfn.LOGNORM.DIST(A8,$B$2,$B$3,FALSE),0)</f>
        <v>0</v>
      </c>
      <c r="C8" s="4">
        <f>IF(A8&gt;0,_xlfn.LOGNORM.DIST(A8,$C$2,$C$3,FALSE),0)</f>
        <v>0</v>
      </c>
      <c r="D8" s="4">
        <f t="shared" ref="D8:D39" si="0">$B$4*B8 + $D$4*C8</f>
        <v>0</v>
      </c>
      <c r="E8" s="4">
        <f>IF($D$94&gt;0, D8/$D$94, 0)</f>
        <v>0</v>
      </c>
    </row>
    <row r="9" spans="1:22">
      <c r="A9" s="14">
        <f t="shared" ref="A9:A72" si="1">A8+$F$2</f>
        <v>1</v>
      </c>
      <c r="B9" s="4">
        <f t="shared" ref="B9:B56" si="2">IF(A9&gt;0,_xlfn.LOGNORM.DIST(A9,$B$2,$B$3,FALSE),0)</f>
        <v>3.3939523635742045E-19</v>
      </c>
      <c r="C9" s="4">
        <f t="shared" ref="C9:C56" si="3">IF(A9&gt;0,_xlfn.LOGNORM.DIST(A9,$D$2,$D$3,FALSE),0)</f>
        <v>1.1283370232016743E-56</v>
      </c>
      <c r="D9" s="4">
        <f t="shared" si="0"/>
        <v>1.0181857090722613E-19</v>
      </c>
      <c r="E9" s="4">
        <f t="shared" ref="E9:E72" si="4">IF($D$94&gt;0, D9/$D$94, 0)</f>
        <v>1.027050424266429E-19</v>
      </c>
    </row>
    <row r="10" spans="1:22">
      <c r="A10" s="14">
        <f t="shared" si="1"/>
        <v>2</v>
      </c>
      <c r="B10" s="4">
        <f t="shared" si="2"/>
        <v>3.2962128252876013E-13</v>
      </c>
      <c r="C10" s="4">
        <f t="shared" si="3"/>
        <v>2.3315088776803368E-35</v>
      </c>
      <c r="D10" s="4">
        <f t="shared" si="0"/>
        <v>9.8886384758628035E-14</v>
      </c>
      <c r="E10" s="4">
        <f t="shared" si="4"/>
        <v>9.974732754112382E-14</v>
      </c>
    </row>
    <row r="11" spans="1:22">
      <c r="A11" s="14">
        <f t="shared" si="1"/>
        <v>3</v>
      </c>
      <c r="B11" s="4">
        <f t="shared" si="2"/>
        <v>2.6050539267358014E-10</v>
      </c>
      <c r="C11" s="4">
        <f t="shared" si="3"/>
        <v>2.6183546613857801E-25</v>
      </c>
      <c r="D11" s="4">
        <f t="shared" si="0"/>
        <v>7.8151617802074226E-11</v>
      </c>
      <c r="E11" s="4">
        <f t="shared" si="4"/>
        <v>7.8832035752950878E-11</v>
      </c>
    </row>
    <row r="12" spans="1:22">
      <c r="A12" s="14">
        <f t="shared" si="1"/>
        <v>4</v>
      </c>
      <c r="B12" s="4">
        <f t="shared" si="2"/>
        <v>1.5893211672907388E-8</v>
      </c>
      <c r="C12" s="4">
        <f t="shared" si="3"/>
        <v>2.9267322250086968E-19</v>
      </c>
      <c r="D12" s="4">
        <f t="shared" si="0"/>
        <v>4.7679635020770878E-9</v>
      </c>
      <c r="E12" s="4">
        <f t="shared" si="4"/>
        <v>4.8094752205440574E-9</v>
      </c>
    </row>
    <row r="13" spans="1:22">
      <c r="A13" s="14">
        <f t="shared" si="1"/>
        <v>5</v>
      </c>
      <c r="B13" s="4">
        <f t="shared" si="2"/>
        <v>2.7000462992787755E-7</v>
      </c>
      <c r="C13" s="4">
        <f t="shared" si="3"/>
        <v>3.4597901500407184E-15</v>
      </c>
      <c r="D13" s="4">
        <f t="shared" si="0"/>
        <v>8.1001391400216371E-8</v>
      </c>
      <c r="E13" s="4">
        <f t="shared" si="4"/>
        <v>8.1706620572749626E-8</v>
      </c>
    </row>
    <row r="14" spans="1:22">
      <c r="A14" s="14">
        <f t="shared" si="1"/>
        <v>6</v>
      </c>
      <c r="B14" s="4">
        <f t="shared" si="2"/>
        <v>2.1684823535138605E-6</v>
      </c>
      <c r="C14" s="4">
        <f t="shared" si="3"/>
        <v>2.9197481694874181E-12</v>
      </c>
      <c r="D14" s="4">
        <f t="shared" si="0"/>
        <v>6.5054674987787683E-7</v>
      </c>
      <c r="E14" s="4">
        <f t="shared" si="4"/>
        <v>6.5621065932658973E-7</v>
      </c>
    </row>
    <row r="15" spans="1:22">
      <c r="A15" s="14">
        <f t="shared" si="1"/>
        <v>7</v>
      </c>
      <c r="B15" s="4">
        <f t="shared" si="2"/>
        <v>1.0733652104859564E-5</v>
      </c>
      <c r="C15" s="4">
        <f t="shared" si="3"/>
        <v>4.5490572452249946E-10</v>
      </c>
      <c r="D15" s="4">
        <f t="shared" si="0"/>
        <v>3.2204140654650349E-6</v>
      </c>
      <c r="E15" s="4">
        <f t="shared" si="4"/>
        <v>3.2484522251477625E-6</v>
      </c>
    </row>
    <row r="16" spans="1:22">
      <c r="A16" s="14">
        <f t="shared" si="1"/>
        <v>8</v>
      </c>
      <c r="B16" s="4">
        <f t="shared" si="2"/>
        <v>3.8044774170769988E-5</v>
      </c>
      <c r="C16" s="4">
        <f t="shared" si="3"/>
        <v>2.231909529210404E-8</v>
      </c>
      <c r="D16" s="4">
        <f t="shared" si="0"/>
        <v>1.1429055617935469E-5</v>
      </c>
      <c r="E16" s="4">
        <f t="shared" si="4"/>
        <v>1.1528561358478238E-5</v>
      </c>
    </row>
    <row r="17" spans="1:5">
      <c r="A17" s="14">
        <f t="shared" si="1"/>
        <v>9</v>
      </c>
      <c r="B17" s="4">
        <f t="shared" si="2"/>
        <v>1.0589055716119482E-4</v>
      </c>
      <c r="C17" s="4">
        <f t="shared" si="3"/>
        <v>4.7789915816070049E-7</v>
      </c>
      <c r="D17" s="4">
        <f t="shared" si="0"/>
        <v>3.2101696559070931E-5</v>
      </c>
      <c r="E17" s="4">
        <f t="shared" si="4"/>
        <v>3.2381186238321145E-5</v>
      </c>
    </row>
    <row r="18" spans="1:5">
      <c r="A18" s="14">
        <f t="shared" si="1"/>
        <v>10</v>
      </c>
      <c r="B18" s="4">
        <f t="shared" si="2"/>
        <v>2.4582379275540022E-4</v>
      </c>
      <c r="C18" s="4">
        <f t="shared" si="3"/>
        <v>5.5210387819414925E-6</v>
      </c>
      <c r="D18" s="4">
        <f t="shared" si="0"/>
        <v>7.7611864973979106E-5</v>
      </c>
      <c r="E18" s="4">
        <f t="shared" si="4"/>
        <v>7.8287583629772675E-5</v>
      </c>
    </row>
    <row r="19" spans="1:5">
      <c r="A19" s="14">
        <f t="shared" si="1"/>
        <v>11</v>
      </c>
      <c r="B19" s="4">
        <f t="shared" si="2"/>
        <v>4.960699748314054E-4</v>
      </c>
      <c r="C19" s="4">
        <f t="shared" si="3"/>
        <v>3.9765564668011259E-5</v>
      </c>
      <c r="D19" s="4">
        <f t="shared" si="0"/>
        <v>1.7665688771702949E-4</v>
      </c>
      <c r="E19" s="4">
        <f t="shared" si="4"/>
        <v>1.7819493031843905E-4</v>
      </c>
    </row>
    <row r="20" spans="1:5">
      <c r="A20" s="14">
        <f t="shared" si="1"/>
        <v>12</v>
      </c>
      <c r="B20" s="4">
        <f t="shared" si="2"/>
        <v>8.9615263674980414E-4</v>
      </c>
      <c r="C20" s="4">
        <f t="shared" si="3"/>
        <v>1.9779258137680769E-4</v>
      </c>
      <c r="D20" s="4">
        <f t="shared" si="0"/>
        <v>4.073005979887066E-4</v>
      </c>
      <c r="E20" s="4">
        <f t="shared" si="4"/>
        <v>4.1084671316928001E-4</v>
      </c>
    </row>
    <row r="21" spans="1:5">
      <c r="A21" s="14">
        <f t="shared" si="1"/>
        <v>13</v>
      </c>
      <c r="B21" s="4">
        <f t="shared" si="2"/>
        <v>1.4808247201774452E-3</v>
      </c>
      <c r="C21" s="4">
        <f t="shared" si="3"/>
        <v>7.3202361183420564E-4</v>
      </c>
      <c r="D21" s="4">
        <f t="shared" si="0"/>
        <v>9.5666394433717742E-4</v>
      </c>
      <c r="E21" s="4">
        <f t="shared" si="4"/>
        <v>9.6499302745778554E-4</v>
      </c>
    </row>
    <row r="22" spans="1:5">
      <c r="A22" s="14">
        <f t="shared" si="1"/>
        <v>14</v>
      </c>
      <c r="B22" s="4">
        <f t="shared" si="2"/>
        <v>2.2748289372079254E-3</v>
      </c>
      <c r="C22" s="4">
        <f t="shared" si="3"/>
        <v>2.1315059221803049E-3</v>
      </c>
      <c r="D22" s="4">
        <f t="shared" si="0"/>
        <v>2.1745028266885909E-3</v>
      </c>
      <c r="E22" s="4">
        <f t="shared" si="4"/>
        <v>2.1934348820845276E-3</v>
      </c>
    </row>
    <row r="23" spans="1:5">
      <c r="A23" s="14">
        <f t="shared" si="1"/>
        <v>15</v>
      </c>
      <c r="B23" s="4">
        <f t="shared" si="2"/>
        <v>3.2894683399301004E-3</v>
      </c>
      <c r="C23" s="4">
        <f t="shared" si="3"/>
        <v>5.0958130573853806E-3</v>
      </c>
      <c r="D23" s="4">
        <f t="shared" si="0"/>
        <v>4.553909642148796E-3</v>
      </c>
      <c r="E23" s="4">
        <f t="shared" si="4"/>
        <v>4.5935577256348689E-3</v>
      </c>
    </row>
    <row r="24" spans="1:5">
      <c r="A24" s="14">
        <f t="shared" si="1"/>
        <v>16</v>
      </c>
      <c r="B24" s="4">
        <f t="shared" si="2"/>
        <v>4.5213202924537848E-3</v>
      </c>
      <c r="C24" s="4">
        <f t="shared" si="3"/>
        <v>1.0339936328912488E-2</v>
      </c>
      <c r="D24" s="4">
        <f t="shared" si="0"/>
        <v>8.5943515179748766E-3</v>
      </c>
      <c r="E24" s="4">
        <f t="shared" si="4"/>
        <v>8.6691772376904178E-3</v>
      </c>
    </row>
    <row r="25" spans="1:5">
      <c r="A25" s="14">
        <f t="shared" si="1"/>
        <v>17</v>
      </c>
      <c r="B25" s="4">
        <f t="shared" si="2"/>
        <v>5.9529095283778902E-3</v>
      </c>
      <c r="C25" s="4">
        <f t="shared" si="3"/>
        <v>1.8280719959248477E-2</v>
      </c>
      <c r="D25" s="4">
        <f t="shared" si="0"/>
        <v>1.45823768299873E-2</v>
      </c>
      <c r="E25" s="4">
        <f t="shared" si="4"/>
        <v>1.4709336594105039E-2</v>
      </c>
    </row>
    <row r="26" spans="1:5">
      <c r="A26" s="14">
        <f t="shared" si="1"/>
        <v>18</v>
      </c>
      <c r="B26" s="4">
        <f t="shared" si="2"/>
        <v>7.5548540664519635E-3</v>
      </c>
      <c r="C26" s="4">
        <f t="shared" si="3"/>
        <v>2.8758873845100171E-2</v>
      </c>
      <c r="D26" s="4">
        <f t="shared" si="0"/>
        <v>2.2397667911505707E-2</v>
      </c>
      <c r="E26" s="4">
        <f t="shared" si="4"/>
        <v>2.2592670596457903E-2</v>
      </c>
    </row>
    <row r="27" spans="1:5">
      <c r="A27" s="14">
        <f t="shared" si="1"/>
        <v>19</v>
      </c>
      <c r="B27" s="4">
        <f t="shared" si="2"/>
        <v>9.2888957711971202E-3</v>
      </c>
      <c r="C27" s="4">
        <f t="shared" si="3"/>
        <v>4.0950781753686667E-2</v>
      </c>
      <c r="D27" s="4">
        <f t="shared" si="0"/>
        <v>3.1452215958939801E-2</v>
      </c>
      <c r="E27" s="4">
        <f t="shared" si="4"/>
        <v>3.1726051011049798E-2</v>
      </c>
    </row>
    <row r="28" spans="1:5">
      <c r="A28" s="14">
        <f t="shared" si="1"/>
        <v>20</v>
      </c>
      <c r="B28" s="4">
        <f t="shared" si="2"/>
        <v>1.1111265856092864E-2</v>
      </c>
      <c r="C28" s="4">
        <f t="shared" si="3"/>
        <v>5.3522885484074308E-2</v>
      </c>
      <c r="D28" s="4">
        <f t="shared" si="0"/>
        <v>4.0799399595679874E-2</v>
      </c>
      <c r="E28" s="4">
        <f t="shared" si="4"/>
        <v>4.1154614812595747E-2</v>
      </c>
    </row>
    <row r="29" spans="1:5">
      <c r="A29" s="14">
        <f t="shared" si="1"/>
        <v>21</v>
      </c>
      <c r="B29" s="4">
        <f t="shared" si="2"/>
        <v>1.2975950084909709E-2</v>
      </c>
      <c r="C29" s="4">
        <f t="shared" si="3"/>
        <v>6.495816357583814E-2</v>
      </c>
      <c r="D29" s="4">
        <f t="shared" si="0"/>
        <v>4.9363499528559604E-2</v>
      </c>
      <c r="E29" s="4">
        <f t="shared" si="4"/>
        <v>4.9793277083291572E-2</v>
      </c>
    </row>
    <row r="30" spans="1:5">
      <c r="A30" s="14">
        <f t="shared" si="1"/>
        <v>22</v>
      </c>
      <c r="B30" s="4">
        <f t="shared" si="2"/>
        <v>1.4837557732914302E-2</v>
      </c>
      <c r="C30" s="4">
        <f t="shared" si="3"/>
        <v>7.3917164603302263E-2</v>
      </c>
      <c r="D30" s="4">
        <f t="shared" si="0"/>
        <v>5.619328254218587E-2</v>
      </c>
      <c r="E30" s="4">
        <f t="shared" si="4"/>
        <v>5.6682522806632087E-2</v>
      </c>
    </row>
    <row r="31" spans="1:5">
      <c r="A31" s="14">
        <f t="shared" si="1"/>
        <v>23</v>
      </c>
      <c r="B31" s="4">
        <f t="shared" si="2"/>
        <v>1.6653629713355576E-2</v>
      </c>
      <c r="C31" s="4">
        <f t="shared" si="3"/>
        <v>7.9507732685668492E-2</v>
      </c>
      <c r="D31" s="4">
        <f t="shared" si="0"/>
        <v>6.0651501793974612E-2</v>
      </c>
      <c r="E31" s="4">
        <f t="shared" si="4"/>
        <v>6.1179557024677103E-2</v>
      </c>
    </row>
    <row r="32" spans="1:5">
      <c r="A32" s="14">
        <f t="shared" si="1"/>
        <v>24</v>
      </c>
      <c r="B32" s="4">
        <f t="shared" si="2"/>
        <v>1.8386327934469194E-2</v>
      </c>
      <c r="C32" s="4">
        <f t="shared" si="3"/>
        <v>8.1399602312926131E-2</v>
      </c>
      <c r="D32" s="4">
        <f t="shared" si="0"/>
        <v>6.2495619999389046E-2</v>
      </c>
      <c r="E32" s="4">
        <f t="shared" si="4"/>
        <v>6.3039730830292684E-2</v>
      </c>
    </row>
    <row r="33" spans="1:5">
      <c r="A33" s="14">
        <f t="shared" si="1"/>
        <v>25</v>
      </c>
      <c r="B33" s="4">
        <f t="shared" si="2"/>
        <v>2.0003524676125439E-2</v>
      </c>
      <c r="C33" s="4">
        <f t="shared" si="3"/>
        <v>7.9788456080286521E-2</v>
      </c>
      <c r="D33" s="4">
        <f t="shared" si="0"/>
        <v>6.1852976659038189E-2</v>
      </c>
      <c r="E33" s="4">
        <f t="shared" si="4"/>
        <v>6.2391492390606922E-2</v>
      </c>
    </row>
    <row r="34" spans="1:5">
      <c r="A34" s="14">
        <f t="shared" si="1"/>
        <v>26</v>
      </c>
      <c r="B34" s="4">
        <f t="shared" si="2"/>
        <v>2.147935920742558E-2</v>
      </c>
      <c r="C34" s="4">
        <f t="shared" si="3"/>
        <v>7.5258572389414108E-2</v>
      </c>
      <c r="D34" s="4">
        <f t="shared" si="0"/>
        <v>5.9124808434817544E-2</v>
      </c>
      <c r="E34" s="4">
        <f t="shared" si="4"/>
        <v>5.9639571687743129E-2</v>
      </c>
    </row>
    <row r="35" spans="1:5">
      <c r="A35" s="14">
        <f t="shared" si="1"/>
        <v>27</v>
      </c>
      <c r="B35" s="4">
        <f t="shared" si="2"/>
        <v>2.2794354005001589E-2</v>
      </c>
      <c r="C35" s="4">
        <f t="shared" si="3"/>
        <v>6.8606018838098609E-2</v>
      </c>
      <c r="D35" s="4">
        <f t="shared" si="0"/>
        <v>5.4862519388169502E-2</v>
      </c>
      <c r="E35" s="4">
        <f t="shared" si="4"/>
        <v>5.5340173518331828E-2</v>
      </c>
    </row>
    <row r="36" spans="1:5">
      <c r="A36" s="14">
        <f t="shared" si="1"/>
        <v>28</v>
      </c>
      <c r="B36" s="4">
        <f t="shared" si="2"/>
        <v>2.3935190781299135E-2</v>
      </c>
      <c r="C36" s="4">
        <f t="shared" si="3"/>
        <v>6.067354442457517E-2</v>
      </c>
      <c r="D36" s="4">
        <f t="shared" si="0"/>
        <v>4.965203833159236E-2</v>
      </c>
      <c r="E36" s="4">
        <f t="shared" si="4"/>
        <v>5.0084328015780243E-2</v>
      </c>
    </row>
    <row r="37" spans="1:5">
      <c r="A37" s="14">
        <f t="shared" si="1"/>
        <v>29</v>
      </c>
      <c r="B37" s="4">
        <f t="shared" si="2"/>
        <v>2.4894242761301241E-2</v>
      </c>
      <c r="C37" s="4">
        <f t="shared" si="3"/>
        <v>5.2227156769449064E-2</v>
      </c>
      <c r="D37" s="4">
        <f t="shared" si="0"/>
        <v>4.4027282567004708E-2</v>
      </c>
      <c r="E37" s="4">
        <f t="shared" si="4"/>
        <v>4.4410600970761584E-2</v>
      </c>
    </row>
    <row r="38" spans="1:5">
      <c r="A38" s="14">
        <f t="shared" si="1"/>
        <v>30</v>
      </c>
      <c r="B38" s="4">
        <f t="shared" si="2"/>
        <v>2.5668948958867493E-2</v>
      </c>
      <c r="C38" s="4">
        <f t="shared" si="3"/>
        <v>4.3883697714753284E-2</v>
      </c>
      <c r="D38" s="4">
        <f t="shared" si="0"/>
        <v>3.8419273087987545E-2</v>
      </c>
      <c r="E38" s="4">
        <f t="shared" si="4"/>
        <v>3.8753766010896751E-2</v>
      </c>
    </row>
    <row r="39" spans="1:5">
      <c r="A39" s="14">
        <f t="shared" si="1"/>
        <v>31</v>
      </c>
      <c r="B39" s="4">
        <f t="shared" si="2"/>
        <v>2.6261102159641787E-2</v>
      </c>
      <c r="C39" s="4">
        <f t="shared" si="3"/>
        <v>3.6084237412687931E-2</v>
      </c>
      <c r="D39" s="4">
        <f t="shared" si="0"/>
        <v>3.3137296836774084E-2</v>
      </c>
      <c r="E39" s="4">
        <f t="shared" si="4"/>
        <v>3.3425802849130368E-2</v>
      </c>
    </row>
    <row r="40" spans="1:5">
      <c r="A40" s="14">
        <f t="shared" si="1"/>
        <v>32</v>
      </c>
      <c r="B40" s="4">
        <f t="shared" si="2"/>
        <v>2.6676107398881675E-2</v>
      </c>
      <c r="C40" s="4">
        <f t="shared" si="3"/>
        <v>2.9100927003410087E-2</v>
      </c>
      <c r="D40" s="4">
        <f t="shared" ref="D40:D56" si="5">$B$4*B40 + $D$4*C40</f>
        <v>2.8373481122051562E-2</v>
      </c>
      <c r="E40" s="4">
        <f t="shared" si="4"/>
        <v>2.8620511528168007E-2</v>
      </c>
    </row>
    <row r="41" spans="1:5">
      <c r="A41" s="14">
        <f t="shared" si="1"/>
        <v>33</v>
      </c>
      <c r="B41" s="4">
        <f t="shared" si="2"/>
        <v>2.6922253514517852E-2</v>
      </c>
      <c r="C41" s="4">
        <f t="shared" si="3"/>
        <v>2.3063581895602526E-2</v>
      </c>
      <c r="D41" s="4">
        <f t="shared" si="5"/>
        <v>2.4221183381277121E-2</v>
      </c>
      <c r="E41" s="4">
        <f t="shared" si="4"/>
        <v>2.4432062291114078E-2</v>
      </c>
    </row>
    <row r="42" spans="1:5">
      <c r="A42" s="14">
        <f t="shared" si="1"/>
        <v>34</v>
      </c>
      <c r="B42" s="4">
        <f t="shared" si="2"/>
        <v>2.701002775521983E-2</v>
      </c>
      <c r="C42" s="4">
        <f t="shared" si="3"/>
        <v>1.7994364514660355E-2</v>
      </c>
      <c r="D42" s="4">
        <f t="shared" si="5"/>
        <v>2.0699063486828196E-2</v>
      </c>
      <c r="E42" s="4">
        <f t="shared" si="4"/>
        <v>2.0879277470349844E-2</v>
      </c>
    </row>
    <row r="43" spans="1:5">
      <c r="A43" s="14">
        <f t="shared" si="1"/>
        <v>35</v>
      </c>
      <c r="B43" s="4">
        <f t="shared" si="2"/>
        <v>2.6951492835705585E-2</v>
      </c>
      <c r="C43" s="4">
        <f t="shared" si="3"/>
        <v>1.3842409356784944E-2</v>
      </c>
      <c r="D43" s="4">
        <f t="shared" si="5"/>
        <v>1.7775134400461134E-2</v>
      </c>
      <c r="E43" s="4">
        <f t="shared" si="4"/>
        <v>1.7929891536211658E-2</v>
      </c>
    </row>
    <row r="44" spans="1:5">
      <c r="A44" s="14">
        <f t="shared" si="1"/>
        <v>36</v>
      </c>
      <c r="B44" s="4">
        <f t="shared" si="2"/>
        <v>2.6759737335136598E-2</v>
      </c>
      <c r="C44" s="4">
        <f t="shared" si="3"/>
        <v>1.0513689986344542E-2</v>
      </c>
      <c r="D44" s="4">
        <f t="shared" si="5"/>
        <v>1.5387504190982157E-2</v>
      </c>
      <c r="E44" s="4">
        <f t="shared" si="4"/>
        <v>1.5521473702621058E-2</v>
      </c>
    </row>
    <row r="45" spans="1:5">
      <c r="A45" s="14">
        <f t="shared" si="1"/>
        <v>37</v>
      </c>
      <c r="B45" s="4">
        <f t="shared" si="2"/>
        <v>2.6448403806919797E-2</v>
      </c>
      <c r="C45" s="4">
        <f t="shared" si="3"/>
        <v>7.8941680333096832E-3</v>
      </c>
      <c r="D45" s="4">
        <f t="shared" si="5"/>
        <v>1.3460438765392716E-2</v>
      </c>
      <c r="E45" s="4">
        <f t="shared" si="4"/>
        <v>1.3577630506526526E-2</v>
      </c>
    </row>
    <row r="46" spans="1:5">
      <c r="A46" s="14">
        <f t="shared" si="1"/>
        <v>38</v>
      </c>
      <c r="B46" s="4">
        <f t="shared" si="2"/>
        <v>2.6031294179092973E-2</v>
      </c>
      <c r="C46" s="4">
        <f t="shared" si="3"/>
        <v>5.8660951558957381E-3</v>
      </c>
      <c r="D46" s="4">
        <f t="shared" si="5"/>
        <v>1.1915654862854907E-2</v>
      </c>
      <c r="E46" s="4">
        <f t="shared" si="4"/>
        <v>1.2019397123004535E-2</v>
      </c>
    </row>
    <row r="47" spans="1:5">
      <c r="A47" s="14">
        <f t="shared" si="1"/>
        <v>39</v>
      </c>
      <c r="B47" s="4">
        <f t="shared" si="2"/>
        <v>2.5522048698106564E-2</v>
      </c>
      <c r="C47" s="4">
        <f t="shared" si="3"/>
        <v>4.318354887695346E-3</v>
      </c>
      <c r="D47" s="4">
        <f t="shared" si="5"/>
        <v>1.0679463030818712E-2</v>
      </c>
      <c r="E47" s="4">
        <f t="shared" si="4"/>
        <v>1.077244253087584E-2</v>
      </c>
    </row>
    <row r="48" spans="1:5">
      <c r="A48" s="14">
        <f t="shared" si="1"/>
        <v>40</v>
      </c>
      <c r="B48" s="4">
        <f t="shared" si="2"/>
        <v>2.4933892525089554E-2</v>
      </c>
      <c r="C48" s="4">
        <f t="shared" si="3"/>
        <v>3.1521430671682363E-3</v>
      </c>
      <c r="D48" s="4">
        <f t="shared" si="5"/>
        <v>9.6866679045446314E-3</v>
      </c>
      <c r="E48" s="4">
        <f t="shared" si="4"/>
        <v>9.7710037495571441E-3</v>
      </c>
    </row>
    <row r="49" spans="1:5">
      <c r="A49" s="14">
        <f t="shared" si="1"/>
        <v>41</v>
      </c>
      <c r="B49" s="4">
        <f t="shared" si="2"/>
        <v>2.4279442871850694E-2</v>
      </c>
      <c r="C49" s="4">
        <f t="shared" si="3"/>
        <v>2.2833141118955365E-3</v>
      </c>
      <c r="D49" s="4">
        <f t="shared" si="5"/>
        <v>8.8821527398820835E-3</v>
      </c>
      <c r="E49" s="4">
        <f t="shared" si="4"/>
        <v>8.9594841673894428E-3</v>
      </c>
    </row>
    <row r="50" spans="1:5">
      <c r="A50" s="14">
        <f t="shared" si="1"/>
        <v>42</v>
      </c>
      <c r="B50" s="4">
        <f t="shared" si="2"/>
        <v>2.3570569034897994E-2</v>
      </c>
      <c r="C50" s="4">
        <f t="shared" si="3"/>
        <v>1.6425461014751867E-3</v>
      </c>
      <c r="D50" s="4">
        <f t="shared" si="5"/>
        <v>8.2209529815020291E-3</v>
      </c>
      <c r="E50" s="4">
        <f t="shared" si="4"/>
        <v>8.2925277503838879E-3</v>
      </c>
    </row>
    <row r="51" spans="1:5">
      <c r="A51" s="14">
        <f t="shared" si="1"/>
        <v>43</v>
      </c>
      <c r="B51" s="4">
        <f t="shared" si="2"/>
        <v>2.281829765701316E-2</v>
      </c>
      <c r="C51" s="4">
        <f t="shared" si="3"/>
        <v>1.174225859256489E-3</v>
      </c>
      <c r="D51" s="4">
        <f t="shared" si="5"/>
        <v>7.66744739858349E-3</v>
      </c>
      <c r="E51" s="4">
        <f t="shared" si="4"/>
        <v>7.7342031356254452E-3</v>
      </c>
    </row>
    <row r="52" spans="1:5">
      <c r="A52" s="14">
        <f t="shared" si="1"/>
        <v>44</v>
      </c>
      <c r="B52" s="4">
        <f t="shared" si="2"/>
        <v>2.2032755860983931E-2</v>
      </c>
      <c r="C52" s="4">
        <f t="shared" si="3"/>
        <v>8.3470136943928123E-4</v>
      </c>
      <c r="D52" s="4">
        <f t="shared" si="5"/>
        <v>7.194117716902676E-3</v>
      </c>
      <c r="E52" s="4">
        <f t="shared" si="4"/>
        <v>7.2567524642433816E-3</v>
      </c>
    </row>
    <row r="53" spans="1:5">
      <c r="A53" s="14">
        <f t="shared" si="1"/>
        <v>45</v>
      </c>
      <c r="B53" s="4">
        <f t="shared" si="2"/>
        <v>2.1223145435911611E-2</v>
      </c>
      <c r="C53" s="4">
        <f t="shared" si="3"/>
        <v>5.9033070951364848E-4</v>
      </c>
      <c r="D53" s="4">
        <f t="shared" si="5"/>
        <v>6.7801751274330366E-3</v>
      </c>
      <c r="E53" s="4">
        <f t="shared" si="4"/>
        <v>6.8392059318685442E-3</v>
      </c>
    </row>
    <row r="54" spans="1:5">
      <c r="A54" s="14">
        <f t="shared" si="1"/>
        <v>46</v>
      </c>
      <c r="B54" s="4">
        <f t="shared" si="2"/>
        <v>2.0397741919154572E-2</v>
      </c>
      <c r="C54" s="4">
        <f t="shared" si="3"/>
        <v>4.1558737729864787E-4</v>
      </c>
      <c r="D54" s="4">
        <f t="shared" si="5"/>
        <v>6.4102337398554247E-3</v>
      </c>
      <c r="E54" s="4">
        <f t="shared" si="4"/>
        <v>6.4660436927211351E-3</v>
      </c>
    </row>
    <row r="55" spans="1:5">
      <c r="A55" s="14">
        <f t="shared" si="1"/>
        <v>47</v>
      </c>
      <c r="B55" s="22">
        <f t="shared" si="2"/>
        <v>1.9563913136982879E-2</v>
      </c>
      <c r="C55" s="23">
        <f t="shared" si="3"/>
        <v>2.9136058753994601E-4</v>
      </c>
      <c r="D55" s="23">
        <f t="shared" si="5"/>
        <v>6.0731263523728261E-3</v>
      </c>
      <c r="E55" s="4">
        <f t="shared" si="4"/>
        <v>6.1260013190633658E-3</v>
      </c>
    </row>
    <row r="56" spans="1:5">
      <c r="A56" s="14">
        <f t="shared" si="1"/>
        <v>48</v>
      </c>
      <c r="B56" s="22">
        <f t="shared" ref="B56:B93" si="6">IF(A56&gt;0,_xlfn.LOGNORM.DIST(A56,$B$2,$B$3,FALSE),0)</f>
        <v>1.8728152494874688E-2</v>
      </c>
      <c r="C56" s="23">
        <f t="shared" ref="C56:C93" si="7">IF(A56&gt;0,_xlfn.LOGNORM.DIST(A56,$D$2,$D$3,FALSE),0)</f>
        <v>2.0350835733290581E-4</v>
      </c>
      <c r="D56" s="23">
        <f t="shared" ref="D56:D93" si="8">$B$4*B56 + $D$4*C56</f>
        <v>5.7609015985954403E-3</v>
      </c>
      <c r="E56" s="4">
        <f t="shared" si="4"/>
        <v>5.8110582168607924E-3</v>
      </c>
    </row>
    <row r="57" spans="1:5">
      <c r="A57" s="14">
        <f t="shared" si="1"/>
        <v>49</v>
      </c>
      <c r="B57" s="22">
        <f t="shared" si="6"/>
        <v>1.7896123010308157E-2</v>
      </c>
      <c r="C57" s="23">
        <f t="shared" si="7"/>
        <v>1.4167154829832008E-4</v>
      </c>
      <c r="D57" s="23">
        <f t="shared" si="8"/>
        <v>5.4680069869012717E-3</v>
      </c>
      <c r="E57" s="4">
        <f t="shared" si="4"/>
        <v>5.5156135523703204E-3</v>
      </c>
    </row>
    <row r="58" spans="1:5">
      <c r="A58" s="14">
        <f t="shared" si="1"/>
        <v>50</v>
      </c>
      <c r="B58" s="22">
        <f t="shared" si="6"/>
        <v>1.7072708735284273E-2</v>
      </c>
      <c r="C58" s="23">
        <f t="shared" si="7"/>
        <v>9.8329517102159621E-5</v>
      </c>
      <c r="D58" s="23">
        <f t="shared" si="8"/>
        <v>5.1906432825567939E-3</v>
      </c>
      <c r="E58" s="4">
        <f t="shared" si="4"/>
        <v>5.2358350132640655E-3</v>
      </c>
    </row>
    <row r="59" spans="1:5">
      <c r="A59" s="14">
        <f t="shared" si="1"/>
        <v>51</v>
      </c>
      <c r="B59" s="22">
        <f t="shared" si="6"/>
        <v>1.6262070810184066E-2</v>
      </c>
      <c r="C59" s="23">
        <f t="shared" si="7"/>
        <v>6.8065225770541036E-5</v>
      </c>
      <c r="D59" s="23">
        <f t="shared" si="8"/>
        <v>4.9262669010945986E-3</v>
      </c>
      <c r="E59" s="4">
        <f t="shared" si="4"/>
        <v>4.9691568696529371E-3</v>
      </c>
    </row>
    <row r="60" spans="1:5">
      <c r="A60" s="14">
        <f t="shared" si="1"/>
        <v>52</v>
      </c>
      <c r="B60" s="22">
        <f t="shared" si="6"/>
        <v>1.5467705919112147E-2</v>
      </c>
      <c r="C60" s="23">
        <f t="shared" si="7"/>
        <v>4.7003970263691457E-5</v>
      </c>
      <c r="D60" s="23">
        <f t="shared" si="8"/>
        <v>4.6732145549182279E-3</v>
      </c>
      <c r="E60" s="4">
        <f t="shared" si="4"/>
        <v>4.7139013527208963E-3</v>
      </c>
    </row>
    <row r="61" spans="1:5">
      <c r="A61" s="14">
        <f t="shared" si="1"/>
        <v>53</v>
      </c>
      <c r="B61" s="22">
        <f t="shared" si="6"/>
        <v>1.4692505378525639E-2</v>
      </c>
      <c r="C61" s="23">
        <f t="shared" si="7"/>
        <v>3.2391346198329649E-5</v>
      </c>
      <c r="D61" s="23">
        <f t="shared" si="8"/>
        <v>4.4304255558965224E-3</v>
      </c>
      <c r="E61" s="4">
        <f t="shared" si="4"/>
        <v>4.4689985395792052E-3</v>
      </c>
    </row>
    <row r="62" spans="1:5">
      <c r="A62" s="14">
        <f t="shared" si="1"/>
        <v>54</v>
      </c>
      <c r="B62" s="22">
        <f t="shared" si="6"/>
        <v>1.3938813487796298E-2</v>
      </c>
      <c r="C62" s="23">
        <f t="shared" si="7"/>
        <v>2.2280068210808512E-5</v>
      </c>
      <c r="D62" s="23">
        <f t="shared" si="8"/>
        <v>4.1972400940864553E-3</v>
      </c>
      <c r="E62" s="4">
        <f t="shared" si="4"/>
        <v>4.2337828757264767E-3</v>
      </c>
    </row>
    <row r="63" spans="1:5">
      <c r="A63" s="14">
        <f t="shared" si="1"/>
        <v>55</v>
      </c>
      <c r="B63" s="22">
        <f t="shared" si="6"/>
        <v>1.3208484106552123E-2</v>
      </c>
      <c r="C63" s="23">
        <f t="shared" si="7"/>
        <v>1.5300173038706525E-5</v>
      </c>
      <c r="D63" s="23">
        <f t="shared" si="8"/>
        <v>3.9732553530927306E-3</v>
      </c>
      <c r="E63" s="4">
        <f t="shared" si="4"/>
        <v>4.0078480376934235E-3</v>
      </c>
    </row>
    <row r="64" spans="1:5">
      <c r="A64" s="14">
        <f t="shared" si="1"/>
        <v>56</v>
      </c>
      <c r="B64" s="22">
        <f t="shared" si="6"/>
        <v>1.2502934704513951E-2</v>
      </c>
      <c r="C64" s="23">
        <f t="shared" si="7"/>
        <v>1.0492038365441135E-5</v>
      </c>
      <c r="D64" s="23">
        <f t="shared" si="8"/>
        <v>3.7582248382099937E-3</v>
      </c>
      <c r="E64" s="4">
        <f t="shared" si="4"/>
        <v>3.7909453846972693E-3</v>
      </c>
    </row>
    <row r="65" spans="1:5">
      <c r="A65" s="14">
        <f t="shared" si="1"/>
        <v>57</v>
      </c>
      <c r="B65" s="22">
        <f t="shared" si="6"/>
        <v>1.182319736096896E-2</v>
      </c>
      <c r="C65" s="23">
        <f t="shared" si="7"/>
        <v>7.1860680575492333E-6</v>
      </c>
      <c r="D65" s="23">
        <f t="shared" si="8"/>
        <v>3.5519894559309724E-3</v>
      </c>
      <c r="E65" s="4">
        <f t="shared" si="4"/>
        <v>3.582914438101666E-3</v>
      </c>
    </row>
    <row r="66" spans="1:5">
      <c r="A66" s="14">
        <f t="shared" si="1"/>
        <v>58</v>
      </c>
      <c r="B66" s="22">
        <f t="shared" si="6"/>
        <v>1.1169966379012224E-2</v>
      </c>
      <c r="C66" s="23">
        <f t="shared" si="7"/>
        <v>4.9166397843739786E-6</v>
      </c>
      <c r="D66" s="23">
        <f t="shared" si="8"/>
        <v>3.354431561552729E-3</v>
      </c>
      <c r="E66" s="4">
        <f t="shared" si="4"/>
        <v>3.3836365289437826E-3</v>
      </c>
    </row>
    <row r="67" spans="1:5">
      <c r="A67" s="14">
        <f t="shared" si="1"/>
        <v>59</v>
      </c>
      <c r="B67" s="22">
        <f t="shared" si="6"/>
        <v>1.0543642330075022E-2</v>
      </c>
      <c r="C67" s="23">
        <f t="shared" si="7"/>
        <v>3.3609554483693507E-6</v>
      </c>
      <c r="D67" s="23">
        <f t="shared" si="8"/>
        <v>3.1654453678363649E-3</v>
      </c>
      <c r="E67" s="4">
        <f t="shared" si="4"/>
        <v>3.1930049489604555E-3</v>
      </c>
    </row>
    <row r="68" spans="1:5">
      <c r="A68" s="14">
        <f t="shared" si="1"/>
        <v>60</v>
      </c>
      <c r="B68" s="22">
        <f t="shared" si="6"/>
        <v>9.9443724625278927E-3</v>
      </c>
      <c r="C68" s="23">
        <f t="shared" si="7"/>
        <v>2.2958347409327865E-6</v>
      </c>
      <c r="D68" s="23">
        <f t="shared" si="8"/>
        <v>2.9849188230770206E-3</v>
      </c>
      <c r="E68" s="4">
        <f t="shared" si="4"/>
        <v>3.0109066708817181E-3</v>
      </c>
    </row>
    <row r="69" spans="1:5">
      <c r="A69" s="14">
        <f t="shared" si="1"/>
        <v>61</v>
      </c>
      <c r="B69" s="22">
        <f t="shared" si="6"/>
        <v>9.3720874993077474E-3</v>
      </c>
      <c r="C69" s="23">
        <f t="shared" si="7"/>
        <v>1.5673398142992195E-6</v>
      </c>
      <c r="D69" s="23">
        <f t="shared" si="8"/>
        <v>2.8127233876623337E-3</v>
      </c>
      <c r="E69" s="4">
        <f t="shared" si="4"/>
        <v>2.8372120359800557E-3</v>
      </c>
    </row>
    <row r="70" spans="1:5">
      <c r="A70" s="14">
        <f t="shared" si="1"/>
        <v>62</v>
      </c>
      <c r="B70" s="22">
        <f t="shared" si="6"/>
        <v>8.8265349180757981E-3</v>
      </c>
      <c r="C70" s="23">
        <f t="shared" si="7"/>
        <v>1.0695151345222209E-6</v>
      </c>
      <c r="D70" s="23">
        <f t="shared" si="8"/>
        <v>2.6487091360169047E-3</v>
      </c>
      <c r="E70" s="4">
        <f t="shared" si="4"/>
        <v>2.6717698133705225E-3</v>
      </c>
    </row>
    <row r="71" spans="1:5">
      <c r="A71" s="14">
        <f t="shared" si="1"/>
        <v>63</v>
      </c>
      <c r="B71" s="22">
        <f t="shared" si="6"/>
        <v>8.307308857328154E-3</v>
      </c>
      <c r="C71" s="23">
        <f t="shared" si="7"/>
        <v>7.2956540899580566E-7</v>
      </c>
      <c r="D71" s="23">
        <f t="shared" si="8"/>
        <v>2.4927033529847432E-3</v>
      </c>
      <c r="E71" s="4">
        <f t="shared" si="4"/>
        <v>2.514405784172754E-3</v>
      </c>
    </row>
    <row r="72" spans="1:5">
      <c r="A72" s="14">
        <f t="shared" si="1"/>
        <v>64</v>
      </c>
      <c r="B72" s="22">
        <f t="shared" si="6"/>
        <v>7.8138768266115127E-3</v>
      </c>
      <c r="C72" s="23">
        <f t="shared" si="7"/>
        <v>4.9755771384953691E-7</v>
      </c>
      <c r="D72" s="23">
        <f t="shared" si="8"/>
        <v>2.3445113383831484E-3</v>
      </c>
      <c r="E72" s="4">
        <f t="shared" si="4"/>
        <v>2.3649235530696037E-3</v>
      </c>
    </row>
    <row r="73" spans="1:5">
      <c r="A73" s="14">
        <f t="shared" ref="A73:A93" si="9">A72+$F$2</f>
        <v>65</v>
      </c>
      <c r="B73" s="22">
        <f t="shared" si="6"/>
        <v>7.3456034215053922E-3</v>
      </c>
      <c r="C73" s="23">
        <f t="shared" si="7"/>
        <v>3.3928872007749508E-7</v>
      </c>
      <c r="D73" s="23">
        <f t="shared" si="8"/>
        <v>2.2039185285556719E-3</v>
      </c>
      <c r="E73" s="4">
        <f t="shared" ref="E73:E93" si="10">IF($D$94&gt;0, D73/$D$94, 0)</f>
        <v>2.223106688331158E-3</v>
      </c>
    </row>
    <row r="74" spans="1:5">
      <c r="A74" s="14">
        <f t="shared" si="9"/>
        <v>66</v>
      </c>
      <c r="B74" s="22">
        <f t="shared" si="6"/>
        <v>6.901771256843066E-3</v>
      </c>
      <c r="C74" s="23">
        <f t="shared" si="7"/>
        <v>2.313575036836796E-7</v>
      </c>
      <c r="D74" s="23">
        <f t="shared" si="8"/>
        <v>2.0706933273054984E-3</v>
      </c>
      <c r="E74" s="4">
        <f t="shared" si="10"/>
        <v>2.0887215773953099E-3</v>
      </c>
    </row>
    <row r="75" spans="1:5">
      <c r="A75" s="14">
        <f t="shared" si="9"/>
        <v>67</v>
      </c>
      <c r="B75" s="22">
        <f t="shared" si="6"/>
        <v>6.4815993368733801E-3</v>
      </c>
      <c r="C75" s="23">
        <f t="shared" si="7"/>
        <v>1.5776998674357633E-7</v>
      </c>
      <c r="D75" s="23">
        <f t="shared" si="8"/>
        <v>1.9445902400527344E-3</v>
      </c>
      <c r="E75" s="4">
        <f t="shared" si="10"/>
        <v>1.961520588312221E-3</v>
      </c>
    </row>
    <row r="76" spans="1:5">
      <c r="A76" s="14">
        <f t="shared" si="9"/>
        <v>68</v>
      </c>
      <c r="B76" s="22">
        <f t="shared" si="6"/>
        <v>6.0842590804845815E-3</v>
      </c>
      <c r="C76" s="23">
        <f t="shared" si="7"/>
        <v>1.0760375150338816E-7</v>
      </c>
      <c r="D76" s="23">
        <f t="shared" si="8"/>
        <v>1.8253530467714268E-3</v>
      </c>
      <c r="E76" s="4">
        <f t="shared" si="10"/>
        <v>1.8412452703061479E-3</v>
      </c>
    </row>
    <row r="77" spans="1:5">
      <c r="A77" s="14">
        <f t="shared" si="9"/>
        <v>69</v>
      </c>
      <c r="B77" s="22">
        <f t="shared" si="6"/>
        <v>5.708888214670668E-3</v>
      </c>
      <c r="C77" s="23">
        <f t="shared" si="7"/>
        <v>7.3404999640173391E-8</v>
      </c>
      <c r="D77" s="23">
        <f t="shared" si="8"/>
        <v>1.7127178479009483E-3</v>
      </c>
      <c r="E77" s="4">
        <f t="shared" si="10"/>
        <v>1.7276294262056997E-3</v>
      </c>
    </row>
    <row r="78" spans="1:5">
      <c r="A78" s="14">
        <f t="shared" si="9"/>
        <v>70</v>
      </c>
      <c r="B78" s="22">
        <f t="shared" si="6"/>
        <v>5.3546027413132382E-3</v>
      </c>
      <c r="C78" s="23">
        <f t="shared" si="7"/>
        <v>5.0089838900855878E-8</v>
      </c>
      <c r="D78" s="23">
        <f t="shared" si="8"/>
        <v>1.606415885281202E-3</v>
      </c>
      <c r="E78" s="4">
        <f t="shared" si="10"/>
        <v>1.6204019579391851E-3</v>
      </c>
    </row>
    <row r="79" spans="1:5">
      <c r="A79" s="14">
        <f t="shared" si="9"/>
        <v>71</v>
      </c>
      <c r="B79" s="22">
        <f t="shared" si="6"/>
        <v>5.0205071720357611E-3</v>
      </c>
      <c r="C79" s="23">
        <f t="shared" si="7"/>
        <v>3.419225298395536E-8</v>
      </c>
      <c r="D79" s="23">
        <f t="shared" si="8"/>
        <v>1.506176086187817E-3</v>
      </c>
      <c r="E79" s="4">
        <f t="shared" si="10"/>
        <v>1.5192894327191555E-3</v>
      </c>
    </row>
    <row r="80" spans="1:5">
      <c r="A80" s="14">
        <f t="shared" si="9"/>
        <v>72</v>
      </c>
      <c r="B80" s="22">
        <f t="shared" si="6"/>
        <v>4.7057032141298912E-3</v>
      </c>
      <c r="C80" s="23">
        <f t="shared" si="7"/>
        <v>2.3349959911057316E-8</v>
      </c>
      <c r="D80" s="23">
        <f t="shared" si="8"/>
        <v>1.4117273092109051E-3</v>
      </c>
      <c r="E80" s="4">
        <f t="shared" si="10"/>
        <v>1.4240183484746424E-3</v>
      </c>
    </row>
    <row r="81" spans="1:5">
      <c r="A81" s="14">
        <f t="shared" si="9"/>
        <v>73</v>
      </c>
      <c r="B81" s="22">
        <f t="shared" si="6"/>
        <v>4.4092970779622603E-3</v>
      </c>
      <c r="C81" s="23">
        <f t="shared" si="7"/>
        <v>1.5953251935066932E-8</v>
      </c>
      <c r="D81" s="23">
        <f t="shared" si="8"/>
        <v>1.3228002906650325E-3</v>
      </c>
      <c r="E81" s="4">
        <f t="shared" si="10"/>
        <v>1.3343170972073205E-3</v>
      </c>
    </row>
    <row r="82" spans="1:5">
      <c r="A82" s="14">
        <f t="shared" si="9"/>
        <v>74</v>
      </c>
      <c r="B82" s="22">
        <f t="shared" si="6"/>
        <v>4.130405563312658E-3</v>
      </c>
      <c r="C82" s="23">
        <f t="shared" si="7"/>
        <v>1.0905347568865851E-8</v>
      </c>
      <c r="D82" s="23">
        <f t="shared" si="8"/>
        <v>1.2391293027370956E-3</v>
      </c>
      <c r="E82" s="4">
        <f t="shared" si="10"/>
        <v>1.2499176375758557E-3</v>
      </c>
    </row>
    <row r="83" spans="1:5">
      <c r="A83" s="14">
        <f t="shared" si="9"/>
        <v>75</v>
      </c>
      <c r="B83" s="22">
        <f t="shared" si="6"/>
        <v>3.8681610691334769E-3</v>
      </c>
      <c r="C83" s="23">
        <f t="shared" si="7"/>
        <v>7.4589532733097428E-9</v>
      </c>
      <c r="D83" s="23">
        <f t="shared" si="8"/>
        <v>1.1604535420073343E-3</v>
      </c>
      <c r="E83" s="4">
        <f t="shared" si="10"/>
        <v>1.170556895505913E-3</v>
      </c>
    </row>
    <row r="84" spans="1:5">
      <c r="A84" s="14">
        <f t="shared" si="9"/>
        <v>76</v>
      </c>
      <c r="B84" s="22">
        <f t="shared" si="6"/>
        <v>3.6217156585211436E-3</v>
      </c>
      <c r="C84" s="23">
        <f t="shared" si="7"/>
        <v>5.1048582967419179E-9</v>
      </c>
      <c r="D84" s="23">
        <f t="shared" si="8"/>
        <v>1.0865182709571507E-3</v>
      </c>
      <c r="E84" s="4">
        <f t="shared" si="10"/>
        <v>1.095977915636382E-3</v>
      </c>
    </row>
    <row r="85" spans="1:5">
      <c r="A85" s="14">
        <f t="shared" si="9"/>
        <v>77</v>
      </c>
      <c r="B85" s="22">
        <f t="shared" si="6"/>
        <v>3.3902442984518628E-3</v>
      </c>
      <c r="C85" s="23">
        <f t="shared" si="7"/>
        <v>3.4960274764124903E-9</v>
      </c>
      <c r="D85" s="23">
        <f t="shared" si="8"/>
        <v>1.0170757367547923E-3</v>
      </c>
      <c r="E85" s="4">
        <f t="shared" si="10"/>
        <v>1.0259307881043587E-3</v>
      </c>
    </row>
    <row r="86" spans="1:5">
      <c r="A86" s="14">
        <f t="shared" si="9"/>
        <v>78</v>
      </c>
      <c r="B86" s="22">
        <f t="shared" si="6"/>
        <v>3.1729473821877656E-3</v>
      </c>
      <c r="C86" s="23">
        <f t="shared" si="7"/>
        <v>2.3958956775789116E-9</v>
      </c>
      <c r="D86" s="23">
        <f t="shared" si="8"/>
        <v>9.5188589178330397E-4</v>
      </c>
      <c r="E86" s="4">
        <f t="shared" si="10"/>
        <v>9.6017337534629163E-4</v>
      </c>
    </row>
    <row r="87" spans="1:5">
      <c r="A87" s="14">
        <f t="shared" si="9"/>
        <v>79</v>
      </c>
      <c r="B87" s="22">
        <f t="shared" si="6"/>
        <v>2.9690526312992098E-3</v>
      </c>
      <c r="C87" s="23">
        <f t="shared" si="7"/>
        <v>1.6431538593550184E-9</v>
      </c>
      <c r="D87" s="23">
        <f t="shared" si="8"/>
        <v>8.9071693959746445E-4</v>
      </c>
      <c r="E87" s="4">
        <f t="shared" si="10"/>
        <v>8.9847186280822794E-4</v>
      </c>
    </row>
    <row r="88" spans="1:5">
      <c r="A88" s="14">
        <f t="shared" si="9"/>
        <v>80</v>
      </c>
      <c r="B88" s="22">
        <f t="shared" si="6"/>
        <v>2.7778164640232185E-3</v>
      </c>
      <c r="C88" s="23">
        <f t="shared" si="7"/>
        <v>1.1277686134423209E-9</v>
      </c>
      <c r="D88" s="23">
        <f t="shared" si="8"/>
        <v>8.3334572864499491E-4</v>
      </c>
      <c r="E88" s="4">
        <f t="shared" si="10"/>
        <v>8.4060115609490985E-4</v>
      </c>
    </row>
    <row r="89" spans="1:5">
      <c r="A89" s="14">
        <f t="shared" si="9"/>
        <v>81</v>
      </c>
      <c r="B89" s="22">
        <f t="shared" si="6"/>
        <v>2.5985249072119328E-3</v>
      </c>
      <c r="C89" s="23">
        <f t="shared" si="7"/>
        <v>7.7465143636156016E-10</v>
      </c>
      <c r="D89" s="23">
        <f t="shared" si="8"/>
        <v>7.7955801441958528E-4</v>
      </c>
      <c r="E89" s="4">
        <f t="shared" si="10"/>
        <v>7.8634514540520592E-4</v>
      </c>
    </row>
    <row r="90" spans="1:5">
      <c r="A90" s="14">
        <f t="shared" si="9"/>
        <v>82</v>
      </c>
      <c r="B90" s="22">
        <f t="shared" si="6"/>
        <v>2.4304941204209246E-3</v>
      </c>
      <c r="C90" s="23">
        <f t="shared" si="7"/>
        <v>5.3253642354836472E-10</v>
      </c>
      <c r="D90" s="23">
        <f t="shared" si="8"/>
        <v>7.2914860890177383E-4</v>
      </c>
      <c r="E90" s="4">
        <f t="shared" si="10"/>
        <v>7.3549685627408016E-4</v>
      </c>
    </row>
    <row r="91" spans="1:5">
      <c r="A91" s="14">
        <f t="shared" si="9"/>
        <v>83</v>
      </c>
      <c r="B91" s="22">
        <f t="shared" si="6"/>
        <v>2.2730705927291816E-3</v>
      </c>
      <c r="C91" s="23">
        <f t="shared" si="7"/>
        <v>3.6640393926321815E-10</v>
      </c>
      <c r="D91" s="23">
        <f t="shared" si="8"/>
        <v>6.819214343015119E-4</v>
      </c>
      <c r="E91" s="4">
        <f t="shared" si="10"/>
        <v>6.8785850378305993E-4</v>
      </c>
    </row>
    <row r="92" spans="1:5">
      <c r="A92" s="14">
        <f t="shared" si="9"/>
        <v>84</v>
      </c>
      <c r="B92" s="22">
        <f t="shared" si="6"/>
        <v>2.125631065646959E-3</v>
      </c>
      <c r="C92" s="23">
        <f t="shared" si="7"/>
        <v>2.5231849065229386E-10</v>
      </c>
      <c r="D92" s="23">
        <f t="shared" si="8"/>
        <v>6.3768949631703119E-4</v>
      </c>
      <c r="E92" s="4">
        <f t="shared" si="10"/>
        <v>6.4324146558628515E-4</v>
      </c>
    </row>
    <row r="93" spans="1:5" ht="16" thickBot="1">
      <c r="A93" s="15">
        <f t="shared" si="9"/>
        <v>85</v>
      </c>
      <c r="B93" s="24">
        <f t="shared" si="6"/>
        <v>1.9875822289177249E-3</v>
      </c>
      <c r="C93" s="12">
        <f t="shared" si="7"/>
        <v>1.7391043071024736E-10</v>
      </c>
      <c r="D93" s="12">
        <f t="shared" si="8"/>
        <v>5.9627479041261886E-4</v>
      </c>
      <c r="E93" s="12">
        <f t="shared" si="10"/>
        <v>6.0146618737230131E-4</v>
      </c>
    </row>
    <row r="94" spans="1:5">
      <c r="A94" s="25" t="s">
        <v>9</v>
      </c>
      <c r="B94" s="26">
        <f>SUM(B8:B93)</f>
        <v>0.97122921230020198</v>
      </c>
      <c r="C94" s="26">
        <f t="shared" ref="C94:E94" si="11">SUM(C8:C93)</f>
        <v>0.99999999961039632</v>
      </c>
      <c r="D94" s="26">
        <f t="shared" si="11"/>
        <v>0.99136876341733726</v>
      </c>
      <c r="E94" s="26">
        <f t="shared" si="11"/>
        <v>0.99999999999999989</v>
      </c>
    </row>
  </sheetData>
  <mergeCells count="2">
    <mergeCell ref="A1:E1"/>
    <mergeCell ref="T1:U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05A7-1200-704D-BD58-ED0B54F8CF34}">
  <dimension ref="A1:V94"/>
  <sheetViews>
    <sheetView tabSelected="1" zoomScale="89" workbookViewId="0">
      <selection activeCell="F31" sqref="F31"/>
    </sheetView>
  </sheetViews>
  <sheetFormatPr baseColWidth="10" defaultColWidth="8.83203125" defaultRowHeight="15"/>
  <cols>
    <col min="1" max="1" width="13.33203125" customWidth="1"/>
    <col min="2" max="3" width="16" customWidth="1"/>
    <col min="4" max="4" width="11.83203125" bestFit="1" customWidth="1"/>
    <col min="5" max="5" width="13.1640625" customWidth="1"/>
    <col min="6" max="6" width="12.83203125" customWidth="1"/>
    <col min="7" max="7" width="14" customWidth="1"/>
    <col min="9" max="9" width="13.1640625" customWidth="1"/>
    <col min="20" max="20" width="5.33203125" bestFit="1" customWidth="1"/>
    <col min="21" max="21" width="54.1640625" bestFit="1" customWidth="1"/>
  </cols>
  <sheetData>
    <row r="1" spans="1:22" ht="19" thickBot="1">
      <c r="A1" s="18" t="s">
        <v>10</v>
      </c>
      <c r="B1" s="19"/>
      <c r="C1" s="19"/>
      <c r="D1" s="19"/>
      <c r="E1" s="19"/>
      <c r="J1" t="s">
        <v>19</v>
      </c>
      <c r="T1" s="20" t="s">
        <v>5</v>
      </c>
      <c r="U1" s="21"/>
      <c r="V1" s="6"/>
    </row>
    <row r="2" spans="1:22" ht="18">
      <c r="A2" t="s">
        <v>11</v>
      </c>
      <c r="B2" s="4">
        <f>LN(J2)</f>
        <v>3.6888794541139363</v>
      </c>
      <c r="C2" t="s">
        <v>13</v>
      </c>
      <c r="D2" s="5">
        <f>LN(J3)</f>
        <v>2.8332133440562162</v>
      </c>
      <c r="E2" t="s">
        <v>22</v>
      </c>
      <c r="F2" s="4">
        <v>1</v>
      </c>
      <c r="I2" t="s">
        <v>17</v>
      </c>
      <c r="J2">
        <v>40</v>
      </c>
      <c r="K2" s="17"/>
      <c r="L2" s="3"/>
      <c r="M2" t="s">
        <v>27</v>
      </c>
      <c r="T2" s="7">
        <v>0.2</v>
      </c>
      <c r="U2" s="8" t="s">
        <v>6</v>
      </c>
      <c r="V2" s="6"/>
    </row>
    <row r="3" spans="1:22" ht="18">
      <c r="A3" t="s">
        <v>12</v>
      </c>
      <c r="B3" s="4">
        <v>0.3</v>
      </c>
      <c r="C3" t="s">
        <v>14</v>
      </c>
      <c r="D3" s="4">
        <v>0.2</v>
      </c>
      <c r="F3" s="4"/>
      <c r="I3" t="s">
        <v>18</v>
      </c>
      <c r="J3">
        <v>17</v>
      </c>
      <c r="K3" s="4"/>
      <c r="L3" s="3">
        <f>J2*B4+J3*D4</f>
        <v>20.45</v>
      </c>
      <c r="M3" s="27" t="s">
        <v>28</v>
      </c>
      <c r="T3" s="7">
        <v>0.5</v>
      </c>
      <c r="U3" s="8" t="s">
        <v>7</v>
      </c>
      <c r="V3" s="6"/>
    </row>
    <row r="4" spans="1:22" ht="19" thickBot="1">
      <c r="A4" t="s">
        <v>0</v>
      </c>
      <c r="B4" s="4">
        <v>0.15</v>
      </c>
      <c r="C4" t="s">
        <v>1</v>
      </c>
      <c r="D4" s="4">
        <v>0.85</v>
      </c>
      <c r="E4" t="s">
        <v>21</v>
      </c>
      <c r="F4" s="4">
        <v>85</v>
      </c>
      <c r="T4" s="9">
        <v>1</v>
      </c>
      <c r="U4" s="10" t="s">
        <v>8</v>
      </c>
      <c r="V4" s="6"/>
    </row>
    <row r="5" spans="1:22">
      <c r="A5" t="s">
        <v>2</v>
      </c>
      <c r="B5" s="4">
        <f>B4+D4</f>
        <v>1</v>
      </c>
      <c r="F5" s="4"/>
    </row>
    <row r="6" spans="1:22">
      <c r="A6" s="1"/>
    </row>
    <row r="7" spans="1:22" ht="16" thickBot="1">
      <c r="A7" s="2" t="s">
        <v>20</v>
      </c>
      <c r="B7" s="2" t="s">
        <v>15</v>
      </c>
      <c r="C7" s="2" t="s">
        <v>16</v>
      </c>
      <c r="D7" s="2" t="s">
        <v>3</v>
      </c>
      <c r="E7" s="2" t="s">
        <v>4</v>
      </c>
    </row>
    <row r="8" spans="1:22">
      <c r="A8" s="13">
        <v>0</v>
      </c>
      <c r="B8" s="4">
        <f>IF(A8&gt;0,_xlfn.LOGNORM.DIST(A8,$B$2,$B$3,FALSE),0)</f>
        <v>0</v>
      </c>
      <c r="C8" s="4">
        <f>IF(A8&gt;0,_xlfn.LOGNORM.DIST(A8,$D$2,$D$3,FALSE),0)</f>
        <v>0</v>
      </c>
      <c r="D8" s="4">
        <f t="shared" ref="D8:D39" si="0">$B$4*B8 + $D$4*C8</f>
        <v>0</v>
      </c>
      <c r="E8" s="4">
        <f>IF($D$94&gt;0, D8/$D$94, 0)</f>
        <v>0</v>
      </c>
    </row>
    <row r="9" spans="1:22">
      <c r="A9" s="14">
        <f t="shared" ref="A9:A72" si="1">A8+$F$2</f>
        <v>1</v>
      </c>
      <c r="B9" s="4">
        <f t="shared" ref="B9:B56" si="2">IF(A9&gt;0,_xlfn.LOGNORM.DIST(A9,$B$2,$B$3,FALSE),0)</f>
        <v>1.9567359346709171E-33</v>
      </c>
      <c r="C9" s="4">
        <f t="shared" ref="C9:C56" si="3">IF(A9&gt;0,_xlfn.LOGNORM.DIST(A9,$D$2,$D$3,FALSE),0)</f>
        <v>5.2884241499890364E-44</v>
      </c>
      <c r="D9" s="4">
        <f t="shared" si="0"/>
        <v>2.9351039024558919E-34</v>
      </c>
      <c r="E9" s="4">
        <f t="shared" ref="E9:E72" si="4">IF($D$94&gt;0, D9/$D$94, 0)</f>
        <v>2.9376004856827348E-34</v>
      </c>
    </row>
    <row r="10" spans="1:22">
      <c r="A10" s="14">
        <f t="shared" si="1"/>
        <v>2</v>
      </c>
      <c r="B10" s="4">
        <f t="shared" si="2"/>
        <v>1.4783335868484311E-22</v>
      </c>
      <c r="C10" s="4">
        <f t="shared" si="3"/>
        <v>1.368122992216539E-25</v>
      </c>
      <c r="D10" s="4">
        <f t="shared" si="0"/>
        <v>2.2291294257064872E-23</v>
      </c>
      <c r="E10" s="4">
        <f t="shared" si="4"/>
        <v>2.2310255109285551E-23</v>
      </c>
    </row>
    <row r="11" spans="1:22">
      <c r="A11" s="14">
        <f t="shared" si="1"/>
        <v>3</v>
      </c>
      <c r="B11" s="4">
        <f t="shared" si="2"/>
        <v>2.8732894312942356E-17</v>
      </c>
      <c r="C11" s="4">
        <f t="shared" si="3"/>
        <v>3.0812131661321635E-17</v>
      </c>
      <c r="D11" s="4">
        <f t="shared" si="0"/>
        <v>3.0500246059064743E-17</v>
      </c>
      <c r="E11" s="4">
        <f t="shared" si="4"/>
        <v>3.0526189400512355E-17</v>
      </c>
    </row>
    <row r="12" spans="1:22">
      <c r="A12" s="14">
        <f t="shared" si="1"/>
        <v>4</v>
      </c>
      <c r="B12" s="4">
        <f t="shared" si="2"/>
        <v>5.3652432180105592E-14</v>
      </c>
      <c r="C12" s="4">
        <f t="shared" si="3"/>
        <v>2.1501644858709247E-12</v>
      </c>
      <c r="D12" s="4">
        <f t="shared" si="0"/>
        <v>1.8356876778173017E-12</v>
      </c>
      <c r="E12" s="4">
        <f t="shared" si="4"/>
        <v>1.8372491036538203E-12</v>
      </c>
    </row>
    <row r="13" spans="1:22">
      <c r="A13" s="14">
        <f t="shared" si="1"/>
        <v>5</v>
      </c>
      <c r="B13" s="4">
        <f t="shared" si="2"/>
        <v>9.8155393586603096E-12</v>
      </c>
      <c r="C13" s="4">
        <f t="shared" si="3"/>
        <v>2.9564773220742412E-9</v>
      </c>
      <c r="D13" s="4">
        <f t="shared" si="0"/>
        <v>2.5144780546669038E-9</v>
      </c>
      <c r="E13" s="4">
        <f t="shared" si="4"/>
        <v>2.5166168558624232E-9</v>
      </c>
    </row>
    <row r="14" spans="1:22">
      <c r="A14" s="14">
        <f t="shared" si="1"/>
        <v>6</v>
      </c>
      <c r="B14" s="4">
        <f t="shared" si="2"/>
        <v>4.5920402070531193E-10</v>
      </c>
      <c r="C14" s="4">
        <f t="shared" si="3"/>
        <v>4.3016918272954274E-7</v>
      </c>
      <c r="D14" s="4">
        <f t="shared" si="0"/>
        <v>3.6571268592321716E-7</v>
      </c>
      <c r="E14" s="4">
        <f t="shared" si="4"/>
        <v>3.6602375912125813E-7</v>
      </c>
    </row>
    <row r="15" spans="1:22">
      <c r="A15" s="14">
        <f t="shared" si="1"/>
        <v>7</v>
      </c>
      <c r="B15" s="4">
        <f t="shared" si="2"/>
        <v>8.8900654568684304E-9</v>
      </c>
      <c r="C15" s="4">
        <f t="shared" si="3"/>
        <v>1.5161552610385567E-5</v>
      </c>
      <c r="D15" s="4">
        <f t="shared" si="0"/>
        <v>1.2888653228646262E-5</v>
      </c>
      <c r="E15" s="4">
        <f t="shared" si="4"/>
        <v>1.2899616246153175E-5</v>
      </c>
    </row>
    <row r="16" spans="1:22">
      <c r="A16" s="14">
        <f t="shared" si="1"/>
        <v>8</v>
      </c>
      <c r="B16" s="4">
        <f t="shared" si="2"/>
        <v>9.3536934305831276E-8</v>
      </c>
      <c r="C16" s="4">
        <f t="shared" si="3"/>
        <v>2.0528910825494845E-4</v>
      </c>
      <c r="D16" s="4">
        <f t="shared" si="0"/>
        <v>1.7450977255685206E-4</v>
      </c>
      <c r="E16" s="4">
        <f t="shared" si="4"/>
        <v>1.7465820960901947E-4</v>
      </c>
    </row>
    <row r="17" spans="1:5">
      <c r="A17" s="14">
        <f t="shared" si="1"/>
        <v>9</v>
      </c>
      <c r="B17" s="4">
        <f t="shared" si="2"/>
        <v>6.3255933271855568E-7</v>
      </c>
      <c r="C17" s="4">
        <f t="shared" si="3"/>
        <v>1.4120021877248655E-3</v>
      </c>
      <c r="D17" s="4">
        <f t="shared" si="0"/>
        <v>1.2002967434660435E-3</v>
      </c>
      <c r="E17" s="4">
        <f t="shared" si="4"/>
        <v>1.2013177092705127E-3</v>
      </c>
    </row>
    <row r="18" spans="1:5">
      <c r="A18" s="14">
        <f t="shared" si="1"/>
        <v>10</v>
      </c>
      <c r="B18" s="4">
        <f t="shared" si="2"/>
        <v>3.0686143056496407E-6</v>
      </c>
      <c r="C18" s="4">
        <f t="shared" si="3"/>
        <v>5.9067177500591031E-3</v>
      </c>
      <c r="D18" s="4">
        <f t="shared" si="0"/>
        <v>5.0211703796960846E-3</v>
      </c>
      <c r="E18" s="4">
        <f t="shared" si="4"/>
        <v>5.0254413595883403E-3</v>
      </c>
    </row>
    <row r="19" spans="1:5">
      <c r="A19" s="14">
        <f t="shared" si="1"/>
        <v>11</v>
      </c>
      <c r="B19" s="4">
        <f t="shared" si="2"/>
        <v>1.1513699373321882E-5</v>
      </c>
      <c r="C19" s="4">
        <f t="shared" si="3"/>
        <v>1.6972367762232869E-2</v>
      </c>
      <c r="D19" s="4">
        <f t="shared" si="0"/>
        <v>1.4428239652803937E-2</v>
      </c>
      <c r="E19" s="4">
        <f t="shared" si="4"/>
        <v>1.4440512234050521E-2</v>
      </c>
    </row>
    <row r="20" spans="1:5">
      <c r="A20" s="14">
        <f t="shared" si="1"/>
        <v>12</v>
      </c>
      <c r="B20" s="4">
        <f t="shared" si="2"/>
        <v>3.5254027239111687E-5</v>
      </c>
      <c r="C20" s="4">
        <f t="shared" si="3"/>
        <v>3.6484174547352671E-2</v>
      </c>
      <c r="D20" s="4">
        <f t="shared" si="0"/>
        <v>3.1016836469335639E-2</v>
      </c>
      <c r="E20" s="4">
        <f t="shared" si="4"/>
        <v>3.1043219219743307E-2</v>
      </c>
    </row>
    <row r="21" spans="1:5">
      <c r="A21" s="14">
        <f t="shared" si="1"/>
        <v>13</v>
      </c>
      <c r="B21" s="4">
        <f t="shared" si="2"/>
        <v>9.1625801159278653E-5</v>
      </c>
      <c r="C21" s="4">
        <f t="shared" si="3"/>
        <v>6.2410636616963472E-2</v>
      </c>
      <c r="D21" s="4">
        <f t="shared" si="0"/>
        <v>5.3062784994592847E-2</v>
      </c>
      <c r="E21" s="4">
        <f t="shared" si="4"/>
        <v>5.3107919907491918E-2</v>
      </c>
    </row>
    <row r="22" spans="1:5">
      <c r="A22" s="14">
        <f t="shared" si="1"/>
        <v>14</v>
      </c>
      <c r="B22" s="4">
        <f t="shared" si="2"/>
        <v>2.0821319648719078E-4</v>
      </c>
      <c r="C22" s="4">
        <f t="shared" si="3"/>
        <v>8.8942523194109363E-2</v>
      </c>
      <c r="D22" s="4">
        <f t="shared" si="0"/>
        <v>7.5632376694466041E-2</v>
      </c>
      <c r="E22" s="4">
        <f t="shared" si="4"/>
        <v>7.5696709177859103E-2</v>
      </c>
    </row>
    <row r="23" spans="1:5">
      <c r="A23" s="14">
        <f t="shared" si="1"/>
        <v>15</v>
      </c>
      <c r="B23" s="4">
        <f t="shared" si="2"/>
        <v>4.2322570071836826E-4</v>
      </c>
      <c r="C23" s="4">
        <f t="shared" si="3"/>
        <v>0.10933119949185544</v>
      </c>
      <c r="D23" s="4">
        <f t="shared" si="0"/>
        <v>9.2995003423184869E-2</v>
      </c>
      <c r="E23" s="4">
        <f t="shared" si="4"/>
        <v>9.3074104461322651E-2</v>
      </c>
    </row>
    <row r="24" spans="1:5">
      <c r="A24" s="14">
        <f t="shared" si="1"/>
        <v>16</v>
      </c>
      <c r="B24" s="4">
        <f t="shared" si="2"/>
        <v>7.8334593896158846E-4</v>
      </c>
      <c r="C24" s="4">
        <f t="shared" si="3"/>
        <v>0.11907149682395618</v>
      </c>
      <c r="D24" s="4">
        <f t="shared" si="0"/>
        <v>0.10132827419120699</v>
      </c>
      <c r="E24" s="4">
        <f t="shared" si="4"/>
        <v>0.10141446346360004</v>
      </c>
    </row>
    <row r="25" spans="1:5">
      <c r="A25" s="14">
        <f t="shared" si="1"/>
        <v>17</v>
      </c>
      <c r="B25" s="4">
        <f t="shared" si="2"/>
        <v>1.3390972534617995E-3</v>
      </c>
      <c r="C25" s="4">
        <f t="shared" si="3"/>
        <v>0.11733596482395074</v>
      </c>
      <c r="D25" s="4">
        <f t="shared" si="0"/>
        <v>9.9936434688377401E-2</v>
      </c>
      <c r="E25" s="4">
        <f t="shared" si="4"/>
        <v>0.10002144006974899</v>
      </c>
    </row>
    <row r="26" spans="1:5">
      <c r="A26" s="14">
        <f t="shared" si="1"/>
        <v>18</v>
      </c>
      <c r="B26" s="4">
        <f t="shared" si="2"/>
        <v>2.1385216811141924E-3</v>
      </c>
      <c r="C26" s="4">
        <f t="shared" si="3"/>
        <v>0.10638284651077219</v>
      </c>
      <c r="D26" s="4">
        <f t="shared" si="0"/>
        <v>9.0746197786323493E-2</v>
      </c>
      <c r="E26" s="4">
        <f t="shared" si="4"/>
        <v>9.0823386002762282E-2</v>
      </c>
    </row>
    <row r="27" spans="1:5">
      <c r="A27" s="14">
        <f t="shared" si="1"/>
        <v>19</v>
      </c>
      <c r="B27" s="4">
        <f t="shared" si="2"/>
        <v>3.2204085599908594E-3</v>
      </c>
      <c r="C27" s="4">
        <f t="shared" si="3"/>
        <v>8.9943024182758097E-2</v>
      </c>
      <c r="D27" s="4">
        <f t="shared" si="0"/>
        <v>7.6934631839343001E-2</v>
      </c>
      <c r="E27" s="4">
        <f t="shared" si="4"/>
        <v>7.7000072013795676E-2</v>
      </c>
    </row>
    <row r="28" spans="1:5">
      <c r="A28" s="14">
        <f t="shared" si="1"/>
        <v>20</v>
      </c>
      <c r="B28" s="4">
        <f t="shared" si="2"/>
        <v>4.608368389760858E-3</v>
      </c>
      <c r="C28" s="4">
        <f t="shared" si="3"/>
        <v>7.1691153231033256E-2</v>
      </c>
      <c r="D28" s="4">
        <f t="shared" si="0"/>
        <v>6.1628735504842394E-2</v>
      </c>
      <c r="E28" s="4">
        <f t="shared" si="4"/>
        <v>6.1681156568104988E-2</v>
      </c>
    </row>
    <row r="29" spans="1:5">
      <c r="A29" s="14">
        <f t="shared" si="1"/>
        <v>21</v>
      </c>
      <c r="B29" s="4">
        <f t="shared" si="2"/>
        <v>6.3067649871295772E-3</v>
      </c>
      <c r="C29" s="4">
        <f t="shared" si="3"/>
        <v>5.4357796718309655E-2</v>
      </c>
      <c r="D29" s="4">
        <f t="shared" si="0"/>
        <v>4.7150141958632638E-2</v>
      </c>
      <c r="E29" s="4">
        <f t="shared" si="4"/>
        <v>4.7190247609904028E-2</v>
      </c>
    </row>
    <row r="30" spans="1:5">
      <c r="A30" s="14">
        <f t="shared" si="1"/>
        <v>22</v>
      </c>
      <c r="B30" s="4">
        <f t="shared" si="2"/>
        <v>8.299050408772591E-3</v>
      </c>
      <c r="C30" s="4">
        <f t="shared" si="3"/>
        <v>3.9498554836076012E-2</v>
      </c>
      <c r="D30" s="4">
        <f t="shared" si="0"/>
        <v>3.4818629171980503E-2</v>
      </c>
      <c r="E30" s="4">
        <f t="shared" si="4"/>
        <v>3.4848245706338855E-2</v>
      </c>
    </row>
    <row r="31" spans="1:5">
      <c r="A31" s="14">
        <f t="shared" si="1"/>
        <v>23</v>
      </c>
      <c r="B31" s="4">
        <f t="shared" si="2"/>
        <v>1.0548551439367561E-2</v>
      </c>
      <c r="C31" s="4">
        <f t="shared" si="3"/>
        <v>2.7676643803627329E-2</v>
      </c>
      <c r="D31" s="4">
        <f t="shared" si="0"/>
        <v>2.5107429948988364E-2</v>
      </c>
      <c r="E31" s="4">
        <f t="shared" si="4"/>
        <v>2.512878619073072E-2</v>
      </c>
    </row>
    <row r="32" spans="1:5">
      <c r="A32" s="14">
        <f t="shared" si="1"/>
        <v>24</v>
      </c>
      <c r="B32" s="4">
        <f t="shared" si="2"/>
        <v>1.3001352598810812E-2</v>
      </c>
      <c r="C32" s="4">
        <f t="shared" si="3"/>
        <v>1.8798250660623694E-2</v>
      </c>
      <c r="D32" s="4">
        <f t="shared" si="0"/>
        <v>1.7928715951351759E-2</v>
      </c>
      <c r="E32" s="4">
        <f t="shared" si="4"/>
        <v>1.7943966018473922E-2</v>
      </c>
    </row>
    <row r="33" spans="1:5">
      <c r="A33" s="14">
        <f t="shared" si="1"/>
        <v>25</v>
      </c>
      <c r="B33" s="4">
        <f t="shared" si="2"/>
        <v>1.5590668313074041E-2</v>
      </c>
      <c r="C33" s="4">
        <f t="shared" si="3"/>
        <v>1.2430889572288958E-2</v>
      </c>
      <c r="D33" s="4">
        <f t="shared" si="0"/>
        <v>1.2904856383406721E-2</v>
      </c>
      <c r="E33" s="4">
        <f t="shared" si="4"/>
        <v>1.2915833183227903E-2</v>
      </c>
    </row>
    <row r="34" spans="1:5">
      <c r="A34" s="14">
        <f t="shared" si="1"/>
        <v>26</v>
      </c>
      <c r="B34" s="4">
        <f t="shared" si="2"/>
        <v>1.8242002876276451E-2</v>
      </c>
      <c r="C34" s="4">
        <f t="shared" si="3"/>
        <v>8.0332285948940523E-3</v>
      </c>
      <c r="D34" s="4">
        <f t="shared" si="0"/>
        <v>9.5645447371014124E-3</v>
      </c>
      <c r="E34" s="4">
        <f t="shared" si="4"/>
        <v>9.5726802862187901E-3</v>
      </c>
    </row>
    <row r="35" spans="1:5">
      <c r="A35" s="14">
        <f t="shared" si="1"/>
        <v>27</v>
      </c>
      <c r="B35" s="4">
        <f t="shared" si="2"/>
        <v>2.0878432867183872E-2</v>
      </c>
      <c r="C35" s="4">
        <f t="shared" si="3"/>
        <v>5.089406659685625E-3</v>
      </c>
      <c r="D35" s="4">
        <f t="shared" si="0"/>
        <v>7.4577605908103615E-3</v>
      </c>
      <c r="E35" s="4">
        <f t="shared" si="4"/>
        <v>7.4641041209270462E-3</v>
      </c>
    </row>
    <row r="36" spans="1:5">
      <c r="A36" s="14">
        <f t="shared" si="1"/>
        <v>28</v>
      </c>
      <c r="B36" s="4">
        <f t="shared" si="2"/>
        <v>2.3425468828863576E-2</v>
      </c>
      <c r="C36" s="4">
        <f t="shared" si="3"/>
        <v>3.1697345611381828E-3</v>
      </c>
      <c r="D36" s="4">
        <f t="shared" si="0"/>
        <v>6.2080947012969918E-3</v>
      </c>
      <c r="E36" s="4">
        <f t="shared" si="4"/>
        <v>6.2133752724852697E-3</v>
      </c>
    </row>
    <row r="37" spans="1:5">
      <c r="A37" s="14">
        <f t="shared" si="1"/>
        <v>29</v>
      </c>
      <c r="B37" s="4">
        <f t="shared" si="2"/>
        <v>2.5815116600079048E-2</v>
      </c>
      <c r="C37" s="4">
        <f t="shared" si="3"/>
        <v>1.9452831716431545E-3</v>
      </c>
      <c r="D37" s="4">
        <f t="shared" si="0"/>
        <v>5.5257581859085381E-3</v>
      </c>
      <c r="E37" s="4">
        <f t="shared" si="4"/>
        <v>5.5304583654118894E-3</v>
      </c>
    </row>
    <row r="38" spans="1:5">
      <c r="A38" s="14">
        <f t="shared" si="1"/>
        <v>30</v>
      </c>
      <c r="B38" s="4">
        <f t="shared" si="2"/>
        <v>2.7988927206520409E-2</v>
      </c>
      <c r="C38" s="4">
        <f t="shared" si="3"/>
        <v>1.1787846373639927E-3</v>
      </c>
      <c r="D38" s="4">
        <f t="shared" si="0"/>
        <v>5.2003060227374543E-3</v>
      </c>
      <c r="E38" s="4">
        <f t="shared" si="4"/>
        <v>5.2047293744218537E-3</v>
      </c>
    </row>
    <row r="39" spans="1:5">
      <c r="A39" s="14">
        <f t="shared" si="1"/>
        <v>31</v>
      </c>
      <c r="B39" s="4">
        <f t="shared" si="2"/>
        <v>2.9899972893845859E-2</v>
      </c>
      <c r="C39" s="4">
        <f t="shared" si="3"/>
        <v>7.065594462807625E-4</v>
      </c>
      <c r="D39" s="4">
        <f t="shared" si="0"/>
        <v>5.085571463415527E-3</v>
      </c>
      <c r="E39" s="4">
        <f t="shared" si="4"/>
        <v>5.0898972225151794E-3</v>
      </c>
    </row>
    <row r="40" spans="1:5">
      <c r="A40" s="14">
        <f t="shared" si="1"/>
        <v>32</v>
      </c>
      <c r="B40" s="4">
        <f t="shared" si="2"/>
        <v>3.1513802433115315E-2</v>
      </c>
      <c r="C40" s="4">
        <f t="shared" si="3"/>
        <v>4.1956320956555471E-4</v>
      </c>
      <c r="D40" s="4">
        <f t="shared" ref="D40:D56" si="5">$B$4*B40 + $D$4*C40</f>
        <v>5.0836990930980186E-3</v>
      </c>
      <c r="E40" s="4">
        <f t="shared" si="4"/>
        <v>5.0880232595697829E-3</v>
      </c>
    </row>
    <row r="41" spans="1:5">
      <c r="A41" s="14">
        <f t="shared" si="1"/>
        <v>33</v>
      </c>
      <c r="B41" s="4">
        <f t="shared" si="2"/>
        <v>3.2808507255285342E-2</v>
      </c>
      <c r="C41" s="4">
        <f t="shared" si="3"/>
        <v>2.4715412752610927E-4</v>
      </c>
      <c r="D41" s="4">
        <f t="shared" si="5"/>
        <v>5.1313570966899941E-3</v>
      </c>
      <c r="E41" s="4">
        <f t="shared" si="4"/>
        <v>5.1357218007973401E-3</v>
      </c>
    </row>
    <row r="42" spans="1:5">
      <c r="A42" s="14">
        <f t="shared" si="1"/>
        <v>34</v>
      </c>
      <c r="B42" s="4">
        <f t="shared" si="2"/>
        <v>3.377407364894254E-2</v>
      </c>
      <c r="C42" s="4">
        <f t="shared" si="3"/>
        <v>1.4460223103258805E-4</v>
      </c>
      <c r="D42" s="4">
        <f t="shared" si="5"/>
        <v>5.1890229437190809E-3</v>
      </c>
      <c r="E42" s="4">
        <f t="shared" si="4"/>
        <v>5.1934366980785612E-3</v>
      </c>
    </row>
    <row r="43" spans="1:5">
      <c r="A43" s="14">
        <f t="shared" si="1"/>
        <v>35</v>
      </c>
      <c r="B43" s="4">
        <f t="shared" si="2"/>
        <v>3.4411211170842525E-2</v>
      </c>
      <c r="C43" s="4">
        <f t="shared" si="3"/>
        <v>8.4114586912595809E-5</v>
      </c>
      <c r="D43" s="4">
        <f t="shared" si="5"/>
        <v>5.2331790745020843E-3</v>
      </c>
      <c r="E43" s="4">
        <f t="shared" si="4"/>
        <v>5.2376303878234063E-3</v>
      </c>
    </row>
    <row r="44" spans="1:5">
      <c r="A44" s="14">
        <f t="shared" si="1"/>
        <v>36</v>
      </c>
      <c r="B44" s="4">
        <f t="shared" si="2"/>
        <v>3.4729840979556982E-2</v>
      </c>
      <c r="C44" s="4">
        <f t="shared" si="3"/>
        <v>4.8691765833091359E-5</v>
      </c>
      <c r="D44" s="4">
        <f t="shared" si="5"/>
        <v>5.2508641478916747E-3</v>
      </c>
      <c r="E44" s="4">
        <f t="shared" si="4"/>
        <v>5.2553305040390968E-3</v>
      </c>
    </row>
    <row r="45" spans="1:5">
      <c r="A45" s="14">
        <f t="shared" si="1"/>
        <v>37</v>
      </c>
      <c r="B45" s="4">
        <f t="shared" si="2"/>
        <v>3.4747407328251205E-2</v>
      </c>
      <c r="C45" s="4">
        <f t="shared" si="3"/>
        <v>2.8072405256923002E-5</v>
      </c>
      <c r="D45" s="4">
        <f t="shared" si="5"/>
        <v>5.2359726437060652E-3</v>
      </c>
      <c r="E45" s="4">
        <f t="shared" si="4"/>
        <v>5.2404263332219789E-3</v>
      </c>
    </row>
    <row r="46" spans="1:5">
      <c r="A46" s="14">
        <f t="shared" si="1"/>
        <v>38</v>
      </c>
      <c r="B46" s="4">
        <f t="shared" si="2"/>
        <v>3.4487147290653879E-2</v>
      </c>
      <c r="C46" s="4">
        <f t="shared" si="3"/>
        <v>1.6130767047574999E-5</v>
      </c>
      <c r="D46" s="4">
        <f t="shared" si="5"/>
        <v>5.1867832455885204E-3</v>
      </c>
      <c r="E46" s="4">
        <f t="shared" si="4"/>
        <v>5.1911950948730964E-3</v>
      </c>
    </row>
    <row r="47" spans="1:5">
      <c r="A47" s="14">
        <f t="shared" si="1"/>
        <v>39</v>
      </c>
      <c r="B47" s="4">
        <f t="shared" si="2"/>
        <v>3.3976422923077218E-2</v>
      </c>
      <c r="C47" s="4">
        <f t="shared" si="3"/>
        <v>9.2439520625804682E-6</v>
      </c>
      <c r="D47" s="4">
        <f t="shared" si="5"/>
        <v>5.104320797714776E-3</v>
      </c>
      <c r="E47" s="4">
        <f t="shared" si="4"/>
        <v>5.1086625048950016E-3</v>
      </c>
    </row>
    <row r="48" spans="1:5">
      <c r="A48" s="14">
        <f t="shared" si="1"/>
        <v>40</v>
      </c>
      <c r="B48" s="4">
        <f t="shared" si="2"/>
        <v>3.3245190033452714E-2</v>
      </c>
      <c r="C48" s="4">
        <f t="shared" si="3"/>
        <v>5.2860661712561685E-6</v>
      </c>
      <c r="D48" s="4">
        <f t="shared" si="5"/>
        <v>4.9912716612634748E-3</v>
      </c>
      <c r="E48" s="4">
        <f t="shared" si="4"/>
        <v>4.9955172094703713E-3</v>
      </c>
    </row>
    <row r="49" spans="1:5">
      <c r="A49" s="14">
        <f t="shared" si="1"/>
        <v>41</v>
      </c>
      <c r="B49" s="4">
        <f t="shared" si="2"/>
        <v>3.2324650794349617E-2</v>
      </c>
      <c r="C49" s="4">
        <f t="shared" si="3"/>
        <v>3.0178491139169152E-6</v>
      </c>
      <c r="D49" s="4">
        <f t="shared" si="5"/>
        <v>4.8512627908992717E-3</v>
      </c>
      <c r="E49" s="4">
        <f t="shared" si="4"/>
        <v>4.8553892483315392E-3</v>
      </c>
    </row>
    <row r="50" spans="1:5">
      <c r="A50" s="14">
        <f t="shared" si="1"/>
        <v>42</v>
      </c>
      <c r="B50" s="4">
        <f t="shared" si="2"/>
        <v>3.1246114806655758E-2</v>
      </c>
      <c r="C50" s="4">
        <f t="shared" si="3"/>
        <v>1.7208630169843717E-6</v>
      </c>
      <c r="D50" s="4">
        <f t="shared" si="5"/>
        <v>4.6883799545627998E-3</v>
      </c>
      <c r="E50" s="4">
        <f t="shared" si="4"/>
        <v>4.6923678647508632E-3</v>
      </c>
    </row>
    <row r="51" spans="1:5">
      <c r="A51" s="14">
        <f t="shared" si="1"/>
        <v>43</v>
      </c>
      <c r="B51" s="4">
        <f t="shared" si="2"/>
        <v>3.004007531057264E-2</v>
      </c>
      <c r="C51" s="4">
        <f t="shared" si="3"/>
        <v>9.8050916837683562E-7</v>
      </c>
      <c r="D51" s="4">
        <f t="shared" si="5"/>
        <v>4.5068447293790158E-3</v>
      </c>
      <c r="E51" s="4">
        <f t="shared" si="4"/>
        <v>4.5106782267035697E-3</v>
      </c>
    </row>
    <row r="52" spans="1:5">
      <c r="A52" s="14">
        <f t="shared" si="1"/>
        <v>44</v>
      </c>
      <c r="B52" s="4">
        <f t="shared" si="2"/>
        <v>2.8735493924771448E-2</v>
      </c>
      <c r="C52" s="4">
        <f t="shared" si="3"/>
        <v>5.5842860885595616E-7</v>
      </c>
      <c r="D52" s="4">
        <f t="shared" si="5"/>
        <v>4.3107987530332445E-3</v>
      </c>
      <c r="E52" s="4">
        <f t="shared" si="4"/>
        <v>4.3144654947292072E-3</v>
      </c>
    </row>
    <row r="53" spans="1:5">
      <c r="A53" s="14">
        <f t="shared" si="1"/>
        <v>45</v>
      </c>
      <c r="B53" s="4">
        <f t="shared" si="2"/>
        <v>2.7359278112235881E-2</v>
      </c>
      <c r="C53" s="4">
        <f t="shared" si="3"/>
        <v>3.1800345110780251E-7</v>
      </c>
      <c r="D53" s="4">
        <f t="shared" si="5"/>
        <v>4.1041620197688235E-3</v>
      </c>
      <c r="E53" s="4">
        <f t="shared" si="4"/>
        <v>4.1076529973966434E-3</v>
      </c>
    </row>
    <row r="54" spans="1:5">
      <c r="A54" s="14">
        <f t="shared" si="1"/>
        <v>46</v>
      </c>
      <c r="B54" s="4">
        <f t="shared" si="2"/>
        <v>2.5935929888646014E-2</v>
      </c>
      <c r="C54" s="4">
        <f t="shared" si="3"/>
        <v>1.811202590095731E-7</v>
      </c>
      <c r="D54" s="4">
        <f t="shared" si="5"/>
        <v>3.8905434355170601E-3</v>
      </c>
      <c r="E54" s="4">
        <f t="shared" si="4"/>
        <v>3.89385271035271E-3</v>
      </c>
    </row>
    <row r="55" spans="1:5">
      <c r="A55" s="14">
        <f t="shared" si="1"/>
        <v>47</v>
      </c>
      <c r="B55" s="4">
        <f t="shared" si="2"/>
        <v>2.4487341415790155E-2</v>
      </c>
      <c r="C55" s="4">
        <f t="shared" si="3"/>
        <v>1.0320079531837238E-7</v>
      </c>
      <c r="D55" s="4">
        <f t="shared" si="5"/>
        <v>3.6731889330445439E-3</v>
      </c>
      <c r="E55" s="4">
        <f t="shared" si="4"/>
        <v>3.6763133273365451E-3</v>
      </c>
    </row>
    <row r="56" spans="1:5">
      <c r="A56" s="14">
        <f t="shared" si="1"/>
        <v>48</v>
      </c>
      <c r="B56" s="4">
        <f t="shared" ref="B56:B93" si="6">IF(A56&gt;0,_xlfn.LOGNORM.DIST(A56,$B$2,$B$3,FALSE),0)</f>
        <v>2.3032712389195863E-2</v>
      </c>
      <c r="C56" s="4">
        <f t="shared" ref="C56:C93" si="7">IF(A56&gt;0,_xlfn.LOGNORM.DIST(A56,$D$2,$D$3,FALSE),0)</f>
        <v>5.8840726845148599E-8</v>
      </c>
      <c r="D56" s="4">
        <f t="shared" ref="D56:D93" si="8">$B$4*B56 + $D$4*C56</f>
        <v>3.4549568729971979E-3</v>
      </c>
      <c r="E56" s="4">
        <f t="shared" si="4"/>
        <v>3.4578956402999067E-3</v>
      </c>
    </row>
    <row r="57" spans="1:5">
      <c r="A57" s="14">
        <f t="shared" si="1"/>
        <v>49</v>
      </c>
      <c r="B57" s="4">
        <f t="shared" si="6"/>
        <v>2.1588564934224116E-2</v>
      </c>
      <c r="C57" s="4">
        <f t="shared" si="7"/>
        <v>3.357683445386226E-8</v>
      </c>
      <c r="D57" s="4">
        <f t="shared" si="8"/>
        <v>3.2383132804429029E-3</v>
      </c>
      <c r="E57" s="4">
        <f t="shared" si="4"/>
        <v>3.2410677718980271E-3</v>
      </c>
    </row>
    <row r="58" spans="1:5">
      <c r="A58" s="14">
        <f t="shared" si="1"/>
        <v>50</v>
      </c>
      <c r="B58" s="4">
        <f t="shared" si="6"/>
        <v>2.0168833557193806E-2</v>
      </c>
      <c r="C58" s="4">
        <f t="shared" si="7"/>
        <v>1.9179915088883309E-8</v>
      </c>
      <c r="D58" s="4">
        <f t="shared" si="8"/>
        <v>3.0253413365068961E-3</v>
      </c>
      <c r="E58" s="4">
        <f t="shared" si="4"/>
        <v>3.0279146751985443E-3</v>
      </c>
    </row>
    <row r="59" spans="1:5">
      <c r="A59" s="14">
        <f t="shared" si="1"/>
        <v>51</v>
      </c>
      <c r="B59" s="4">
        <f t="shared" si="6"/>
        <v>1.8785010144129657E-2</v>
      </c>
      <c r="C59" s="4">
        <f t="shared" si="7"/>
        <v>1.0969048931337846E-8</v>
      </c>
      <c r="D59" s="4">
        <f t="shared" si="8"/>
        <v>2.8177608453110402E-3</v>
      </c>
      <c r="E59" s="4">
        <f t="shared" si="4"/>
        <v>2.8201576171792428E-3</v>
      </c>
    </row>
    <row r="60" spans="1:5">
      <c r="A60" s="14">
        <f t="shared" si="1"/>
        <v>52</v>
      </c>
      <c r="B60" s="4">
        <f t="shared" si="6"/>
        <v>1.7446326739734296E-2</v>
      </c>
      <c r="C60" s="4">
        <f t="shared" si="7"/>
        <v>6.2815861364116642E-9</v>
      </c>
      <c r="D60" s="4">
        <f t="shared" si="8"/>
        <v>2.6169543503083603E-3</v>
      </c>
      <c r="E60" s="4">
        <f t="shared" si="4"/>
        <v>2.6191803172770003E-3</v>
      </c>
    </row>
    <row r="61" spans="1:5">
      <c r="A61" s="14">
        <f t="shared" si="1"/>
        <v>53</v>
      </c>
      <c r="B61" s="4">
        <f t="shared" si="6"/>
        <v>1.6159961637592667E-2</v>
      </c>
      <c r="C61" s="4">
        <f t="shared" si="7"/>
        <v>3.602497617474757E-9</v>
      </c>
      <c r="D61" s="4">
        <f t="shared" si="8"/>
        <v>2.4239973077618748E-3</v>
      </c>
      <c r="E61" s="4">
        <f t="shared" si="4"/>
        <v>2.4260591465320139E-3</v>
      </c>
    </row>
    <row r="62" spans="1:5">
      <c r="A62" s="14">
        <f t="shared" si="1"/>
        <v>54</v>
      </c>
      <c r="B62" s="4">
        <f t="shared" si="6"/>
        <v>1.4931257005304673E-2</v>
      </c>
      <c r="C62" s="4">
        <f t="shared" si="7"/>
        <v>2.0692934280714943E-9</v>
      </c>
      <c r="D62" s="4">
        <f t="shared" si="8"/>
        <v>2.2396903096951145E-3</v>
      </c>
      <c r="E62" s="4">
        <f t="shared" si="4"/>
        <v>2.2415953779469843E-3</v>
      </c>
    </row>
    <row r="63" spans="1:5">
      <c r="A63" s="14">
        <f t="shared" si="1"/>
        <v>55</v>
      </c>
      <c r="B63" s="4">
        <f t="shared" si="6"/>
        <v>1.3763938749197622E-2</v>
      </c>
      <c r="C63" s="4">
        <f t="shared" si="7"/>
        <v>1.1906084903885166E-9</v>
      </c>
      <c r="D63" s="4">
        <f t="shared" si="8"/>
        <v>2.0645918243968604E-3</v>
      </c>
      <c r="E63" s="4">
        <f t="shared" si="4"/>
        <v>2.0663479548407447E-3</v>
      </c>
    </row>
    <row r="64" spans="1:5">
      <c r="A64" s="14">
        <f t="shared" si="1"/>
        <v>56</v>
      </c>
      <c r="B64" s="4">
        <f t="shared" si="6"/>
        <v>1.2660331531797329E-2</v>
      </c>
      <c r="C64" s="4">
        <f t="shared" si="7"/>
        <v>6.8625263611044834E-10</v>
      </c>
      <c r="D64" s="4">
        <f t="shared" si="8"/>
        <v>1.8990503130843399E-3</v>
      </c>
      <c r="E64" s="4">
        <f t="shared" si="4"/>
        <v>1.9006656348297167E-3</v>
      </c>
    </row>
    <row r="65" spans="1:5">
      <c r="A65" s="14">
        <f t="shared" si="1"/>
        <v>57</v>
      </c>
      <c r="B65" s="4">
        <f t="shared" si="6"/>
        <v>1.1621563764583493E-2</v>
      </c>
      <c r="C65" s="4">
        <f t="shared" si="7"/>
        <v>3.9628026652423506E-10</v>
      </c>
      <c r="D65" s="4">
        <f t="shared" si="8"/>
        <v>1.7432349015257505E-3</v>
      </c>
      <c r="E65" s="4">
        <f t="shared" si="4"/>
        <v>1.7447176875395453E-3</v>
      </c>
    </row>
    <row r="66" spans="1:5">
      <c r="A66" s="14">
        <f t="shared" si="1"/>
        <v>58</v>
      </c>
      <c r="B66" s="4">
        <f t="shared" si="6"/>
        <v>1.0647759006235359E-2</v>
      </c>
      <c r="C66" s="4">
        <f t="shared" si="7"/>
        <v>2.292743463942772E-10</v>
      </c>
      <c r="D66" s="4">
        <f t="shared" si="8"/>
        <v>1.5971640458184982E-3</v>
      </c>
      <c r="E66" s="4">
        <f t="shared" si="4"/>
        <v>1.5985225847662916E-3</v>
      </c>
    </row>
    <row r="67" spans="1:5">
      <c r="A67" s="14">
        <f t="shared" si="1"/>
        <v>59</v>
      </c>
      <c r="B67" s="4">
        <f t="shared" si="6"/>
        <v>9.7382115165099217E-3</v>
      </c>
      <c r="C67" s="4">
        <f t="shared" si="7"/>
        <v>1.3291399074786087E-10</v>
      </c>
      <c r="D67" s="4">
        <f t="shared" si="8"/>
        <v>1.4607318404533803E-3</v>
      </c>
      <c r="E67" s="4">
        <f t="shared" si="4"/>
        <v>1.4619743309181098E-3</v>
      </c>
    </row>
    <row r="68" spans="1:5">
      <c r="A68" s="14">
        <f t="shared" si="1"/>
        <v>60</v>
      </c>
      <c r="B68" s="4">
        <f t="shared" si="6"/>
        <v>8.8915447722327529E-3</v>
      </c>
      <c r="C68" s="4">
        <f t="shared" si="7"/>
        <v>7.7209813361114821E-11</v>
      </c>
      <c r="D68" s="4">
        <f t="shared" si="8"/>
        <v>1.3337317814632542E-3</v>
      </c>
      <c r="E68" s="4">
        <f t="shared" si="4"/>
        <v>1.3348662463767186E-3</v>
      </c>
    </row>
    <row r="69" spans="1:5">
      <c r="A69" s="14">
        <f t="shared" si="1"/>
        <v>61</v>
      </c>
      <c r="B69" s="4">
        <f t="shared" si="6"/>
        <v>8.1058525743192625E-3</v>
      </c>
      <c r="C69" s="4">
        <f t="shared" si="7"/>
        <v>4.4945092255807376E-11</v>
      </c>
      <c r="D69" s="4">
        <f t="shared" si="8"/>
        <v>1.2158779243512179E-3</v>
      </c>
      <c r="E69" s="4">
        <f t="shared" si="4"/>
        <v>1.216912143422401E-3</v>
      </c>
    </row>
    <row r="70" spans="1:5">
      <c r="A70" s="14">
        <f t="shared" si="1"/>
        <v>62</v>
      </c>
      <c r="B70" s="4">
        <f t="shared" si="6"/>
        <v>7.378822995134331E-3</v>
      </c>
      <c r="C70" s="4">
        <f t="shared" si="7"/>
        <v>2.6219157770902034E-11</v>
      </c>
      <c r="D70" s="4">
        <f t="shared" si="8"/>
        <v>1.1068234715564337E-3</v>
      </c>
      <c r="E70" s="4">
        <f t="shared" si="4"/>
        <v>1.1077649295102225E-3</v>
      </c>
    </row>
    <row r="71" spans="1:5">
      <c r="A71" s="14">
        <f t="shared" si="1"/>
        <v>63</v>
      </c>
      <c r="B71" s="4">
        <f t="shared" si="6"/>
        <v>6.7078458654649901E-3</v>
      </c>
      <c r="C71" s="4">
        <f t="shared" si="7"/>
        <v>1.5328447565696238E-11</v>
      </c>
      <c r="D71" s="4">
        <f t="shared" si="8"/>
        <v>1.0061768928489288E-3</v>
      </c>
      <c r="E71" s="4">
        <f t="shared" si="4"/>
        <v>1.0070327413767516E-3</v>
      </c>
    </row>
    <row r="72" spans="1:5">
      <c r="A72" s="14">
        <f t="shared" si="1"/>
        <v>64</v>
      </c>
      <c r="B72" s="4">
        <f t="shared" si="6"/>
        <v>6.0901048097945611E-3</v>
      </c>
      <c r="C72" s="4">
        <f t="shared" si="7"/>
        <v>8.9812061683913423E-12</v>
      </c>
      <c r="D72" s="4">
        <f t="shared" si="8"/>
        <v>9.1351572910320939E-4</v>
      </c>
      <c r="E72" s="4">
        <f t="shared" si="4"/>
        <v>9.1429276055508672E-4</v>
      </c>
    </row>
    <row r="73" spans="1:5">
      <c r="A73" s="14">
        <f t="shared" ref="A73:A93" si="9">A72+$F$2</f>
        <v>65</v>
      </c>
      <c r="B73" s="4">
        <f t="shared" si="6"/>
        <v>5.5226550345852127E-3</v>
      </c>
      <c r="C73" s="4">
        <f t="shared" si="7"/>
        <v>5.2740020855361944E-12</v>
      </c>
      <c r="D73" s="4">
        <f t="shared" si="8"/>
        <v>8.2839825967068366E-4</v>
      </c>
      <c r="E73" s="4">
        <f t="shared" ref="E73:E93" si="10">IF($D$94&gt;0, D73/$D$94, 0)</f>
        <v>8.2910289067148369E-4</v>
      </c>
    </row>
    <row r="74" spans="1:5">
      <c r="A74" s="14">
        <f t="shared" si="9"/>
        <v>66</v>
      </c>
      <c r="B74" s="4">
        <f t="shared" si="6"/>
        <v>5.0024881808958021E-3</v>
      </c>
      <c r="C74" s="4">
        <f t="shared" si="7"/>
        <v>3.104025838481441E-12</v>
      </c>
      <c r="D74" s="4">
        <f t="shared" si="8"/>
        <v>7.5037322977279219E-4</v>
      </c>
      <c r="E74" s="4">
        <f t="shared" si="10"/>
        <v>7.5101149311255166E-4</v>
      </c>
    </row>
    <row r="75" spans="1:5">
      <c r="A75" s="14">
        <f t="shared" si="9"/>
        <v>67</v>
      </c>
      <c r="B75" s="4">
        <f t="shared" si="6"/>
        <v>4.5265855905651077E-3</v>
      </c>
      <c r="C75" s="4">
        <f t="shared" si="7"/>
        <v>1.8310422538620957E-12</v>
      </c>
      <c r="D75" s="4">
        <f t="shared" si="8"/>
        <v>6.78987840141152E-4</v>
      </c>
      <c r="E75" s="4">
        <f t="shared" si="10"/>
        <v>6.7956538346134192E-4</v>
      </c>
    </row>
    <row r="76" spans="1:5">
      <c r="A76" s="14">
        <f t="shared" si="9"/>
        <v>68</v>
      </c>
      <c r="B76" s="4">
        <f t="shared" si="6"/>
        <v>4.0919613218150918E-3</v>
      </c>
      <c r="C76" s="4">
        <f t="shared" si="7"/>
        <v>1.0825962527934193E-12</v>
      </c>
      <c r="D76" s="4">
        <f t="shared" si="8"/>
        <v>6.1379419919247054E-4</v>
      </c>
      <c r="E76" s="4">
        <f t="shared" si="10"/>
        <v>6.1431628916044586E-4</v>
      </c>
    </row>
    <row r="77" spans="1:5">
      <c r="A77" s="14">
        <f t="shared" si="9"/>
        <v>69</v>
      </c>
      <c r="B77" s="4">
        <f t="shared" si="6"/>
        <v>3.6956961998914199E-3</v>
      </c>
      <c r="C77" s="4">
        <f t="shared" si="7"/>
        <v>6.415574135177415E-13</v>
      </c>
      <c r="D77" s="4">
        <f t="shared" si="8"/>
        <v>5.5435443052903675E-4</v>
      </c>
      <c r="E77" s="4">
        <f t="shared" si="10"/>
        <v>5.5482596135689839E-4</v>
      </c>
    </row>
    <row r="78" spans="1:5">
      <c r="A78" s="14">
        <f t="shared" si="9"/>
        <v>70</v>
      </c>
      <c r="B78" s="4">
        <f t="shared" si="6"/>
        <v>3.3349641129431936E-3</v>
      </c>
      <c r="C78" s="4">
        <f t="shared" si="7"/>
        <v>3.8107450121294645E-13</v>
      </c>
      <c r="D78" s="4">
        <f t="shared" si="8"/>
        <v>5.0024461726539229E-4</v>
      </c>
      <c r="E78" s="4">
        <f t="shared" si="10"/>
        <v>5.0067012258387116E-4</v>
      </c>
    </row>
    <row r="79" spans="1:5">
      <c r="A79" s="14">
        <f t="shared" si="9"/>
        <v>71</v>
      </c>
      <c r="B79" s="4">
        <f t="shared" si="6"/>
        <v>3.0070516720367658E-3</v>
      </c>
      <c r="C79" s="4">
        <f t="shared" si="7"/>
        <v>2.2687830798054067E-13</v>
      </c>
      <c r="D79" s="4">
        <f t="shared" si="8"/>
        <v>4.5105775099836141E-4</v>
      </c>
      <c r="E79" s="4">
        <f t="shared" si="10"/>
        <v>4.5144141823908081E-4</v>
      </c>
    </row>
    <row r="80" spans="1:5">
      <c r="A80" s="14">
        <f t="shared" si="9"/>
        <v>72</v>
      </c>
      <c r="B80" s="4">
        <f t="shared" si="6"/>
        <v>2.7093722542206366E-3</v>
      </c>
      <c r="C80" s="4">
        <f t="shared" si="7"/>
        <v>1.3539016698691879E-13</v>
      </c>
      <c r="D80" s="4">
        <f t="shared" si="8"/>
        <v>4.0640583824817712E-4</v>
      </c>
      <c r="E80" s="4">
        <f t="shared" si="10"/>
        <v>4.067515248176415E-4</v>
      </c>
    </row>
    <row r="81" spans="1:5">
      <c r="A81" s="14">
        <f t="shared" si="9"/>
        <v>73</v>
      </c>
      <c r="B81" s="4">
        <f t="shared" si="6"/>
        <v>2.4394753443996624E-3</v>
      </c>
      <c r="C81" s="4">
        <f t="shared" si="7"/>
        <v>8.0982978398593852E-14</v>
      </c>
      <c r="D81" s="4">
        <f t="shared" si="8"/>
        <v>3.6592130172878487E-4</v>
      </c>
      <c r="E81" s="4">
        <f t="shared" si="10"/>
        <v>3.6623255237428203E-4</v>
      </c>
    </row>
    <row r="82" spans="1:5">
      <c r="A82" s="14">
        <f t="shared" si="9"/>
        <v>74</v>
      </c>
      <c r="B82" s="4">
        <f t="shared" si="6"/>
        <v>2.1950519894847896E-3</v>
      </c>
      <c r="C82" s="4">
        <f t="shared" si="7"/>
        <v>4.8552701229823238E-14</v>
      </c>
      <c r="D82" s="4">
        <f t="shared" si="8"/>
        <v>3.2925779846398819E-4</v>
      </c>
      <c r="E82" s="4">
        <f t="shared" si="10"/>
        <v>3.2953786333537641E-4</v>
      </c>
    </row>
    <row r="83" spans="1:5">
      <c r="A83" s="14">
        <f t="shared" si="9"/>
        <v>75</v>
      </c>
      <c r="B83" s="4">
        <f t="shared" si="6"/>
        <v>1.9739370797445715E-3</v>
      </c>
      <c r="C83" s="4">
        <f t="shared" si="7"/>
        <v>2.9177351336919866E-14</v>
      </c>
      <c r="D83" s="4">
        <f t="shared" si="8"/>
        <v>2.9609056198648647E-4</v>
      </c>
      <c r="E83" s="4">
        <f t="shared" si="10"/>
        <v>2.9634241498905425E-4</v>
      </c>
    </row>
    <row r="84" spans="1:5">
      <c r="A84" s="14">
        <f t="shared" si="9"/>
        <v>76</v>
      </c>
      <c r="B84" s="4">
        <f t="shared" si="6"/>
        <v>1.7741090794458113E-3</v>
      </c>
      <c r="C84" s="4">
        <f t="shared" si="7"/>
        <v>1.7574793623154048E-14</v>
      </c>
      <c r="D84" s="4">
        <f t="shared" si="8"/>
        <v>2.6611636193181026E-4</v>
      </c>
      <c r="E84" s="4">
        <f t="shared" si="10"/>
        <v>2.6634271904476679E-4</v>
      </c>
    </row>
    <row r="85" spans="1:5">
      <c r="A85" s="14">
        <f t="shared" si="9"/>
        <v>77</v>
      </c>
      <c r="B85" s="4">
        <f t="shared" si="6"/>
        <v>1.5936877429542878E-3</v>
      </c>
      <c r="C85" s="4">
        <f t="shared" si="7"/>
        <v>1.0610722362457107E-14</v>
      </c>
      <c r="D85" s="4">
        <f t="shared" si="8"/>
        <v>2.390531614521623E-4</v>
      </c>
      <c r="E85" s="4">
        <f t="shared" si="10"/>
        <v>2.392564987557262E-4</v>
      </c>
    </row>
    <row r="86" spans="1:5">
      <c r="A86" s="14">
        <f t="shared" si="9"/>
        <v>78</v>
      </c>
      <c r="B86" s="4">
        <f t="shared" si="6"/>
        <v>1.430930274127469E-3</v>
      </c>
      <c r="C86" s="4">
        <f t="shared" si="7"/>
        <v>6.4210771075862485E-15</v>
      </c>
      <c r="D86" s="4">
        <f t="shared" si="8"/>
        <v>2.1463954112457825E-4</v>
      </c>
      <c r="E86" s="4">
        <f t="shared" si="10"/>
        <v>2.1482211233704555E-4</v>
      </c>
    </row>
    <row r="87" spans="1:5">
      <c r="A87" s="14">
        <f t="shared" si="9"/>
        <v>79</v>
      </c>
      <c r="B87" s="4">
        <f t="shared" si="6"/>
        <v>1.2842263163076336E-3</v>
      </c>
      <c r="C87" s="4">
        <f t="shared" si="7"/>
        <v>3.8947212524124014E-15</v>
      </c>
      <c r="D87" s="4">
        <f t="shared" si="8"/>
        <v>1.9263394744945553E-4</v>
      </c>
      <c r="E87" s="4">
        <f t="shared" si="10"/>
        <v>1.9279780082504487E-4</v>
      </c>
    </row>
    <row r="88" spans="1:5">
      <c r="A88" s="14">
        <f t="shared" si="9"/>
        <v>80</v>
      </c>
      <c r="B88" s="4">
        <f t="shared" si="6"/>
        <v>1.1520920974402184E-3</v>
      </c>
      <c r="C88" s="4">
        <f t="shared" si="7"/>
        <v>2.3678124796337039E-15</v>
      </c>
      <c r="D88" s="4">
        <f t="shared" si="8"/>
        <v>1.728138146180454E-4</v>
      </c>
      <c r="E88" s="4">
        <f t="shared" si="10"/>
        <v>1.7296080909772333E-4</v>
      </c>
    </row>
    <row r="89" spans="1:5">
      <c r="A89" s="14">
        <f t="shared" si="9"/>
        <v>81</v>
      </c>
      <c r="B89" s="4">
        <f t="shared" si="6"/>
        <v>1.0331639995092992E-3</v>
      </c>
      <c r="C89" s="4">
        <f t="shared" si="7"/>
        <v>1.4428364240023781E-15</v>
      </c>
      <c r="D89" s="4">
        <f t="shared" si="8"/>
        <v>1.549745999276213E-4</v>
      </c>
      <c r="E89" s="4">
        <f t="shared" si="10"/>
        <v>1.5510642046945706E-4</v>
      </c>
    </row>
    <row r="90" spans="1:5">
      <c r="A90" s="14">
        <f t="shared" si="9"/>
        <v>82</v>
      </c>
      <c r="B90" s="4">
        <f t="shared" si="6"/>
        <v>9.2619177316457233E-4</v>
      </c>
      <c r="C90" s="4">
        <f t="shared" si="7"/>
        <v>8.8121484662500977E-16</v>
      </c>
      <c r="D90" s="4">
        <f t="shared" si="8"/>
        <v>1.3892876597543488E-4</v>
      </c>
      <c r="E90" s="4">
        <f t="shared" si="10"/>
        <v>1.3904693801921502E-4</v>
      </c>
    </row>
    <row r="91" spans="1:5">
      <c r="A91" s="14">
        <f t="shared" si="9"/>
        <v>83</v>
      </c>
      <c r="B91" s="4">
        <f t="shared" si="6"/>
        <v>8.3003157658561027E-4</v>
      </c>
      <c r="C91" s="4">
        <f t="shared" si="7"/>
        <v>5.3943252176231291E-16</v>
      </c>
      <c r="D91" s="4">
        <f t="shared" si="8"/>
        <v>1.2450473648830003E-4</v>
      </c>
      <c r="E91" s="4">
        <f t="shared" si="10"/>
        <v>1.2461063953197733E-4</v>
      </c>
    </row>
    <row r="92" spans="1:5">
      <c r="A92" s="14">
        <f t="shared" si="9"/>
        <v>84</v>
      </c>
      <c r="B92" s="4">
        <f t="shared" si="6"/>
        <v>7.4363898171940263E-4</v>
      </c>
      <c r="C92" s="4">
        <f t="shared" si="7"/>
        <v>3.3096223325278013E-16</v>
      </c>
      <c r="D92" s="4">
        <f t="shared" si="8"/>
        <v>1.1154584725819171E-4</v>
      </c>
      <c r="E92" s="4">
        <f t="shared" si="10"/>
        <v>1.1164072754200578E-4</v>
      </c>
    </row>
    <row r="93" spans="1:5" ht="16" thickBot="1">
      <c r="A93" s="15">
        <f t="shared" si="9"/>
        <v>85</v>
      </c>
      <c r="B93" s="24">
        <f t="shared" si="6"/>
        <v>6.6606206044622651E-4</v>
      </c>
      <c r="C93" s="12">
        <f t="shared" si="7"/>
        <v>2.0351706764945153E-16</v>
      </c>
      <c r="D93" s="12">
        <f t="shared" si="8"/>
        <v>9.9909309067106958E-5</v>
      </c>
      <c r="E93" s="12">
        <f t="shared" si="10"/>
        <v>9.9994291375574363E-5</v>
      </c>
    </row>
    <row r="94" spans="1:5">
      <c r="A94" s="25" t="s">
        <v>9</v>
      </c>
      <c r="B94" s="26">
        <f>SUM(B8:B93)</f>
        <v>0.99433418932902862</v>
      </c>
      <c r="C94" s="26">
        <f t="shared" ref="C94:E94" si="11">SUM(C8:C93)</f>
        <v>0.99999999999999267</v>
      </c>
      <c r="D94" s="26">
        <f t="shared" si="11"/>
        <v>0.99915012839934814</v>
      </c>
      <c r="E94" s="26">
        <f t="shared" si="11"/>
        <v>1</v>
      </c>
    </row>
  </sheetData>
  <mergeCells count="2">
    <mergeCell ref="A1:E1"/>
    <mergeCell ref="T1:U1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9514-1FCF-DD44-B970-7A4E041321E4}">
  <dimension ref="A1:V94"/>
  <sheetViews>
    <sheetView zoomScale="75" workbookViewId="0">
      <selection activeCell="M4" sqref="M4"/>
    </sheetView>
  </sheetViews>
  <sheetFormatPr baseColWidth="10" defaultColWidth="8.83203125" defaultRowHeight="15"/>
  <cols>
    <col min="1" max="1" width="13.33203125" customWidth="1"/>
    <col min="2" max="3" width="16" customWidth="1"/>
    <col min="4" max="4" width="11.83203125" bestFit="1" customWidth="1"/>
    <col min="5" max="5" width="13.1640625" customWidth="1"/>
    <col min="6" max="6" width="12.83203125" customWidth="1"/>
    <col min="7" max="7" width="14" customWidth="1"/>
    <col min="9" max="9" width="13.1640625" customWidth="1"/>
    <col min="20" max="20" width="5.33203125" bestFit="1" customWidth="1"/>
    <col min="21" max="21" width="54.1640625" bestFit="1" customWidth="1"/>
  </cols>
  <sheetData>
    <row r="1" spans="1:22" ht="19" thickBot="1">
      <c r="A1" s="18" t="s">
        <v>10</v>
      </c>
      <c r="B1" s="19"/>
      <c r="C1" s="19"/>
      <c r="D1" s="19"/>
      <c r="E1" s="19"/>
      <c r="J1" t="s">
        <v>19</v>
      </c>
      <c r="T1" s="20" t="s">
        <v>5</v>
      </c>
      <c r="U1" s="21"/>
      <c r="V1" s="6"/>
    </row>
    <row r="2" spans="1:22" ht="18">
      <c r="A2" t="s">
        <v>11</v>
      </c>
      <c r="B2" s="4">
        <f>LN(J2)</f>
        <v>3.8066624897703196</v>
      </c>
      <c r="C2" t="s">
        <v>13</v>
      </c>
      <c r="D2" s="4">
        <f>LN(J3)</f>
        <v>3.4011973816621555</v>
      </c>
      <c r="E2" t="s">
        <v>22</v>
      </c>
      <c r="F2" s="4">
        <v>1</v>
      </c>
      <c r="I2" t="s">
        <v>17</v>
      </c>
      <c r="J2">
        <v>45</v>
      </c>
      <c r="L2" s="3"/>
      <c r="T2" s="7">
        <v>0.2</v>
      </c>
      <c r="U2" s="8" t="s">
        <v>6</v>
      </c>
      <c r="V2" s="6"/>
    </row>
    <row r="3" spans="1:22" ht="18">
      <c r="A3" t="s">
        <v>12</v>
      </c>
      <c r="B3" s="4">
        <v>0.2</v>
      </c>
      <c r="C3" t="s">
        <v>14</v>
      </c>
      <c r="D3" s="4">
        <v>0.3</v>
      </c>
      <c r="F3" s="4"/>
      <c r="I3" t="s">
        <v>18</v>
      </c>
      <c r="J3">
        <v>30</v>
      </c>
      <c r="L3" s="3"/>
      <c r="M3" s="27" t="s">
        <v>30</v>
      </c>
      <c r="T3" s="7">
        <v>0.5</v>
      </c>
      <c r="U3" s="8" t="s">
        <v>7</v>
      </c>
      <c r="V3" s="6"/>
    </row>
    <row r="4" spans="1:22" ht="19" thickBot="1">
      <c r="A4" t="s">
        <v>0</v>
      </c>
      <c r="B4" s="4">
        <v>0.7</v>
      </c>
      <c r="C4" t="s">
        <v>1</v>
      </c>
      <c r="D4" s="4">
        <v>0.3</v>
      </c>
      <c r="E4" t="s">
        <v>21</v>
      </c>
      <c r="F4" s="4">
        <v>80</v>
      </c>
      <c r="T4" s="9">
        <v>1</v>
      </c>
      <c r="U4" s="10" t="s">
        <v>8</v>
      </c>
      <c r="V4" s="6"/>
    </row>
    <row r="5" spans="1:22">
      <c r="A5" t="s">
        <v>2</v>
      </c>
      <c r="B5" s="4">
        <f>B4+D4</f>
        <v>1</v>
      </c>
      <c r="F5" s="4"/>
    </row>
    <row r="6" spans="1:22">
      <c r="A6" s="1"/>
    </row>
    <row r="7" spans="1:22" ht="16" thickBot="1">
      <c r="A7" s="2" t="s">
        <v>20</v>
      </c>
      <c r="B7" s="2" t="s">
        <v>15</v>
      </c>
      <c r="C7" s="2" t="s">
        <v>16</v>
      </c>
      <c r="D7" s="2" t="s">
        <v>3</v>
      </c>
      <c r="E7" s="2" t="s">
        <v>4</v>
      </c>
    </row>
    <row r="8" spans="1:22">
      <c r="A8" s="13">
        <v>0</v>
      </c>
      <c r="B8" s="4">
        <f>IF(A8&gt;0,_xlfn.LOGNORM.DIST(A8,$B$2,$B$3,FALSE),0)</f>
        <v>0</v>
      </c>
      <c r="C8" s="4">
        <f>IF(A8&gt;0,_xlfn.LOGNORM.DIST(A8,$C$2,$C$3,FALSE),0)</f>
        <v>0</v>
      </c>
      <c r="D8" s="4">
        <f t="shared" ref="D8:D39" si="0">$B$4*B8 + $D$4*C8</f>
        <v>0</v>
      </c>
      <c r="E8" s="28">
        <f>IF($D$94&gt;0, D8/$D$94, 0)</f>
        <v>0</v>
      </c>
    </row>
    <row r="9" spans="1:22">
      <c r="A9" s="14">
        <f t="shared" ref="A9:A72" si="1">A8+$F$2</f>
        <v>1</v>
      </c>
      <c r="B9" s="4">
        <f t="shared" ref="B9:B56" si="2">IF(A9&gt;0,_xlfn.LOGNORM.DIST(A9,$B$2,$B$3,FALSE),0)</f>
        <v>4.3112605741533346E-79</v>
      </c>
      <c r="C9" s="4">
        <f t="shared" ref="C9:C56" si="3">IF(A9&gt;0,_xlfn.LOGNORM.DIST(A9,$D$2,$D$3,FALSE),0)</f>
        <v>1.6322383101492363E-28</v>
      </c>
      <c r="D9" s="4">
        <f t="shared" si="0"/>
        <v>4.8967149304477085E-29</v>
      </c>
      <c r="E9" s="23">
        <f t="shared" ref="E9:E72" si="4">IF($D$94&gt;0, D9/$D$94, 0)</f>
        <v>4.8993462169334749E-29</v>
      </c>
    </row>
    <row r="10" spans="1:22">
      <c r="A10" s="14">
        <f t="shared" si="1"/>
        <v>2</v>
      </c>
      <c r="B10" s="4">
        <f t="shared" si="2"/>
        <v>2.3623157047270362E-53</v>
      </c>
      <c r="C10" s="4">
        <f t="shared" si="3"/>
        <v>1.3452134502206306E-18</v>
      </c>
      <c r="D10" s="4">
        <f t="shared" si="0"/>
        <v>4.0356403506618916E-19</v>
      </c>
      <c r="E10" s="23">
        <f t="shared" si="4"/>
        <v>4.0378089322654644E-19</v>
      </c>
    </row>
    <row r="11" spans="1:22">
      <c r="A11" s="14">
        <f t="shared" si="1"/>
        <v>3</v>
      </c>
      <c r="B11" s="4">
        <f t="shared" si="2"/>
        <v>1.026435544726767E-40</v>
      </c>
      <c r="C11" s="4">
        <f t="shared" si="3"/>
        <v>7.1536576240140659E-14</v>
      </c>
      <c r="D11" s="4">
        <f t="shared" si="0"/>
        <v>2.1460972872042198E-14</v>
      </c>
      <c r="E11" s="23">
        <f t="shared" si="4"/>
        <v>2.1472505086739538E-14</v>
      </c>
    </row>
    <row r="12" spans="1:22">
      <c r="A12" s="14">
        <f t="shared" si="1"/>
        <v>4</v>
      </c>
      <c r="B12" s="4">
        <f t="shared" si="2"/>
        <v>7.8635614112628808E-33</v>
      </c>
      <c r="C12" s="4">
        <f t="shared" si="3"/>
        <v>5.3256863080632025E-11</v>
      </c>
      <c r="D12" s="4">
        <f t="shared" si="0"/>
        <v>1.5977058924189606E-11</v>
      </c>
      <c r="E12" s="23">
        <f t="shared" si="4"/>
        <v>1.5985644316606081E-11</v>
      </c>
    </row>
    <row r="13" spans="1:22">
      <c r="A13" s="14">
        <f t="shared" si="1"/>
        <v>5</v>
      </c>
      <c r="B13" s="4">
        <f t="shared" si="2"/>
        <v>2.4680069868249666E-27</v>
      </c>
      <c r="C13" s="4">
        <f t="shared" si="3"/>
        <v>4.7745300659747201E-9</v>
      </c>
      <c r="D13" s="4">
        <f t="shared" si="0"/>
        <v>1.4323590197924159E-9</v>
      </c>
      <c r="E13" s="23">
        <f t="shared" si="4"/>
        <v>1.4331287086522083E-9</v>
      </c>
    </row>
    <row r="14" spans="1:22">
      <c r="A14" s="14">
        <f t="shared" si="1"/>
        <v>6</v>
      </c>
      <c r="B14" s="4">
        <f t="shared" si="2"/>
        <v>3.035177088231445E-23</v>
      </c>
      <c r="C14" s="4">
        <f t="shared" si="3"/>
        <v>1.2471591240777478E-7</v>
      </c>
      <c r="D14" s="4">
        <f t="shared" si="0"/>
        <v>3.7414773722332451E-8</v>
      </c>
      <c r="E14" s="23">
        <f t="shared" si="4"/>
        <v>3.7434878831545855E-8</v>
      </c>
    </row>
    <row r="15" spans="1:22">
      <c r="A15" s="14">
        <f t="shared" si="1"/>
        <v>7</v>
      </c>
      <c r="B15" s="4">
        <f t="shared" si="2"/>
        <v>4.5553400019356154E-20</v>
      </c>
      <c r="C15" s="4">
        <f t="shared" si="3"/>
        <v>1.4751218962048775E-6</v>
      </c>
      <c r="D15" s="4">
        <f t="shared" si="0"/>
        <v>4.4253656886149506E-7</v>
      </c>
      <c r="E15" s="23">
        <f t="shared" si="4"/>
        <v>4.4277436920512179E-7</v>
      </c>
    </row>
    <row r="16" spans="1:22">
      <c r="A16" s="14">
        <f t="shared" si="1"/>
        <v>8</v>
      </c>
      <c r="B16" s="4">
        <f t="shared" si="2"/>
        <v>1.5901874055557755E-17</v>
      </c>
      <c r="C16" s="4">
        <f t="shared" si="3"/>
        <v>1.0128303587598684E-5</v>
      </c>
      <c r="D16" s="4">
        <f t="shared" si="0"/>
        <v>3.0384910762907365E-6</v>
      </c>
      <c r="E16" s="23">
        <f t="shared" si="4"/>
        <v>3.0401238322546278E-6</v>
      </c>
    </row>
    <row r="17" spans="1:5">
      <c r="A17" s="14">
        <f t="shared" si="1"/>
        <v>9</v>
      </c>
      <c r="B17" s="4">
        <f t="shared" si="2"/>
        <v>1.9221056389115396E-15</v>
      </c>
      <c r="C17" s="4">
        <f t="shared" si="3"/>
        <v>4.7005369652148987E-5</v>
      </c>
      <c r="D17" s="4">
        <f t="shared" si="0"/>
        <v>1.4101610896990169E-5</v>
      </c>
      <c r="E17" s="23">
        <f t="shared" si="4"/>
        <v>1.4109188503346231E-5</v>
      </c>
    </row>
    <row r="18" spans="1:5">
      <c r="A18" s="14">
        <f t="shared" si="1"/>
        <v>10</v>
      </c>
      <c r="B18" s="4">
        <f t="shared" si="2"/>
        <v>1.0443663120103253E-13</v>
      </c>
      <c r="C18" s="4">
        <f t="shared" si="3"/>
        <v>1.6282690948352902E-4</v>
      </c>
      <c r="D18" s="4">
        <f t="shared" si="0"/>
        <v>4.8848072918164349E-5</v>
      </c>
      <c r="E18" s="23">
        <f t="shared" si="4"/>
        <v>4.8874321796432932E-5</v>
      </c>
    </row>
    <row r="19" spans="1:5">
      <c r="A19" s="14">
        <f t="shared" si="1"/>
        <v>11</v>
      </c>
      <c r="B19" s="4">
        <f t="shared" si="2"/>
        <v>3.052044906699251E-12</v>
      </c>
      <c r="C19" s="4">
        <f t="shared" si="3"/>
        <v>4.5049335420409628E-4</v>
      </c>
      <c r="D19" s="4">
        <f t="shared" si="0"/>
        <v>1.3514800839766031E-4</v>
      </c>
      <c r="E19" s="23">
        <f t="shared" si="4"/>
        <v>1.3522063119337664E-4</v>
      </c>
    </row>
    <row r="20" spans="1:5">
      <c r="A20" s="14">
        <f t="shared" si="1"/>
        <v>12</v>
      </c>
      <c r="B20" s="4">
        <f t="shared" si="2"/>
        <v>5.4523542931002267E-11</v>
      </c>
      <c r="C20" s="4">
        <f t="shared" si="3"/>
        <v>1.0444612519487861E-3</v>
      </c>
      <c r="D20" s="4">
        <f t="shared" si="0"/>
        <v>3.1333841375111586E-4</v>
      </c>
      <c r="E20" s="23">
        <f t="shared" si="4"/>
        <v>3.1350678849730501E-4</v>
      </c>
    </row>
    <row r="21" spans="1:5">
      <c r="A21" s="14">
        <f t="shared" si="1"/>
        <v>13</v>
      </c>
      <c r="B21" s="4">
        <f t="shared" si="2"/>
        <v>6.5420931308808059E-10</v>
      </c>
      <c r="C21" s="4">
        <f t="shared" si="3"/>
        <v>2.1017712173913754E-3</v>
      </c>
      <c r="D21" s="4">
        <f t="shared" si="0"/>
        <v>6.305318231639317E-4</v>
      </c>
      <c r="E21" s="23">
        <f t="shared" si="4"/>
        <v>6.3087064416713539E-4</v>
      </c>
    </row>
    <row r="22" spans="1:5">
      <c r="A22" s="14">
        <f t="shared" si="1"/>
        <v>14</v>
      </c>
      <c r="B22" s="4">
        <f t="shared" si="2"/>
        <v>5.6600643493948865E-9</v>
      </c>
      <c r="C22" s="4">
        <f t="shared" si="3"/>
        <v>3.7687611405464506E-3</v>
      </c>
      <c r="D22" s="4">
        <f t="shared" si="0"/>
        <v>1.1306323042089795E-3</v>
      </c>
      <c r="E22" s="23">
        <f t="shared" si="4"/>
        <v>1.1312398579556634E-3</v>
      </c>
    </row>
    <row r="23" spans="1:5">
      <c r="A23" s="14">
        <f t="shared" si="1"/>
        <v>15</v>
      </c>
      <c r="B23" s="4">
        <f t="shared" si="2"/>
        <v>3.7294766366548679E-8</v>
      </c>
      <c r="C23" s="4">
        <f t="shared" si="3"/>
        <v>6.1444911863478106E-3</v>
      </c>
      <c r="D23" s="4">
        <f t="shared" si="0"/>
        <v>1.8433734622407996E-3</v>
      </c>
      <c r="E23" s="23">
        <f t="shared" si="4"/>
        <v>1.8443640127932229E-3</v>
      </c>
    </row>
    <row r="24" spans="1:5">
      <c r="A24" s="14">
        <f t="shared" si="1"/>
        <v>16</v>
      </c>
      <c r="B24" s="4">
        <f t="shared" si="2"/>
        <v>1.953552186007571E-7</v>
      </c>
      <c r="C24" s="4">
        <f t="shared" si="3"/>
        <v>9.2528300613026436E-3</v>
      </c>
      <c r="D24" s="4">
        <f t="shared" si="0"/>
        <v>2.7759857670438138E-3</v>
      </c>
      <c r="E24" s="23">
        <f t="shared" si="4"/>
        <v>2.7774774638113921E-3</v>
      </c>
    </row>
    <row r="25" spans="1:5">
      <c r="A25" s="14">
        <f t="shared" si="1"/>
        <v>17</v>
      </c>
      <c r="B25" s="4">
        <f t="shared" si="2"/>
        <v>8.4177384116771402E-7</v>
      </c>
      <c r="C25" s="4">
        <f t="shared" si="3"/>
        <v>1.3030873018160536E-2</v>
      </c>
      <c r="D25" s="4">
        <f t="shared" si="0"/>
        <v>3.9098511471369777E-3</v>
      </c>
      <c r="E25" s="23">
        <f t="shared" si="4"/>
        <v>3.9119521349688094E-3</v>
      </c>
    </row>
    <row r="26" spans="1:5">
      <c r="A26" s="14">
        <f t="shared" si="1"/>
        <v>18</v>
      </c>
      <c r="B26" s="4">
        <f t="shared" si="2"/>
        <v>3.0672437677452421E-6</v>
      </c>
      <c r="C26" s="4">
        <f t="shared" si="3"/>
        <v>1.7335136798414419E-2</v>
      </c>
      <c r="D26" s="4">
        <f t="shared" si="0"/>
        <v>5.2026881101617465E-3</v>
      </c>
      <c r="E26" s="23">
        <f t="shared" si="4"/>
        <v>5.2054838136299641E-3</v>
      </c>
    </row>
    <row r="27" spans="1:5">
      <c r="A27" s="14">
        <f t="shared" si="1"/>
        <v>19</v>
      </c>
      <c r="B27" s="4">
        <f t="shared" si="2"/>
        <v>9.6668613430451814E-6</v>
      </c>
      <c r="C27" s="4">
        <f t="shared" si="3"/>
        <v>2.1961804883945918E-2</v>
      </c>
      <c r="D27" s="4">
        <f t="shared" si="0"/>
        <v>6.595308268123907E-3</v>
      </c>
      <c r="E27" s="23">
        <f t="shared" si="4"/>
        <v>6.5988523064765313E-3</v>
      </c>
    </row>
    <row r="28" spans="1:5">
      <c r="A28" s="14">
        <f t="shared" si="1"/>
        <v>20</v>
      </c>
      <c r="B28" s="4">
        <f t="shared" si="2"/>
        <v>2.6847694973460313E-5</v>
      </c>
      <c r="C28" s="4">
        <f t="shared" si="3"/>
        <v>2.6674634316698191E-2</v>
      </c>
      <c r="D28" s="4">
        <f t="shared" si="0"/>
        <v>8.0211836814908805E-3</v>
      </c>
      <c r="E28" s="23">
        <f t="shared" si="4"/>
        <v>8.0254939246887681E-3</v>
      </c>
    </row>
    <row r="29" spans="1:5">
      <c r="A29" s="14">
        <f t="shared" si="1"/>
        <v>21</v>
      </c>
      <c r="B29" s="4">
        <f t="shared" si="2"/>
        <v>6.6737650090697116E-5</v>
      </c>
      <c r="C29" s="4">
        <f t="shared" si="3"/>
        <v>3.1233958438484765E-2</v>
      </c>
      <c r="D29" s="4">
        <f t="shared" si="0"/>
        <v>9.4169038866089173E-3</v>
      </c>
      <c r="E29" s="23">
        <f t="shared" si="4"/>
        <v>9.4219641305247973E-3</v>
      </c>
    </row>
    <row r="30" spans="1:5">
      <c r="A30" s="14">
        <f t="shared" si="1"/>
        <v>22</v>
      </c>
      <c r="B30" s="4">
        <f t="shared" si="2"/>
        <v>1.5044040525646248E-4</v>
      </c>
      <c r="C30" s="4">
        <f t="shared" si="3"/>
        <v>3.5421693124161838E-2</v>
      </c>
      <c r="D30" s="4">
        <f t="shared" si="0"/>
        <v>1.0731816220928076E-2</v>
      </c>
      <c r="E30" s="23">
        <f t="shared" si="4"/>
        <v>1.0737583042846638E-2</v>
      </c>
    </row>
    <row r="31" spans="1:5">
      <c r="A31" s="14">
        <f t="shared" si="1"/>
        <v>23</v>
      </c>
      <c r="B31" s="4">
        <f t="shared" si="2"/>
        <v>3.1096490919035668E-4</v>
      </c>
      <c r="C31" s="4">
        <f t="shared" si="3"/>
        <v>3.9059388344738231E-2</v>
      </c>
      <c r="D31" s="4">
        <f t="shared" si="0"/>
        <v>1.1935491939854718E-2</v>
      </c>
      <c r="E31" s="23">
        <f t="shared" si="4"/>
        <v>1.1941905565946575E-2</v>
      </c>
    </row>
    <row r="32" spans="1:5">
      <c r="A32" s="14">
        <f t="shared" si="1"/>
        <v>24</v>
      </c>
      <c r="B32" s="4">
        <f t="shared" si="2"/>
        <v>5.9502030028271615E-4</v>
      </c>
      <c r="C32" s="4">
        <f t="shared" si="3"/>
        <v>4.2018403244153749E-2</v>
      </c>
      <c r="D32" s="4">
        <f t="shared" si="0"/>
        <v>1.3022035183444025E-2</v>
      </c>
      <c r="E32" s="23">
        <f t="shared" si="4"/>
        <v>1.3029032671695242E-2</v>
      </c>
    </row>
    <row r="33" spans="1:5">
      <c r="A33" s="14">
        <f t="shared" si="1"/>
        <v>25</v>
      </c>
      <c r="B33" s="4">
        <f t="shared" si="2"/>
        <v>1.0625952771245663E-3</v>
      </c>
      <c r="C33" s="4">
        <f t="shared" si="3"/>
        <v>4.4222807787256076E-2</v>
      </c>
      <c r="D33" s="4">
        <f t="shared" si="0"/>
        <v>1.4010659030164019E-2</v>
      </c>
      <c r="E33" s="23">
        <f t="shared" si="4"/>
        <v>1.4018187762852441E-2</v>
      </c>
    </row>
    <row r="34" spans="1:5">
      <c r="A34" s="14">
        <f t="shared" si="1"/>
        <v>26</v>
      </c>
      <c r="B34" s="4">
        <f t="shared" si="2"/>
        <v>1.7835407563779658E-3</v>
      </c>
      <c r="C34" s="4">
        <f t="shared" si="3"/>
        <v>4.5646510813897673E-2</v>
      </c>
      <c r="D34" s="4">
        <f t="shared" si="0"/>
        <v>1.4942431773633877E-2</v>
      </c>
      <c r="E34" s="23">
        <f t="shared" si="4"/>
        <v>1.4950461201392876E-2</v>
      </c>
    </row>
    <row r="35" spans="1:5">
      <c r="A35" s="14">
        <f t="shared" si="1"/>
        <v>27</v>
      </c>
      <c r="B35" s="4">
        <f t="shared" si="2"/>
        <v>2.8310072541029921E-3</v>
      </c>
      <c r="C35" s="4">
        <f t="shared" si="3"/>
        <v>4.6306454639409307E-2</v>
      </c>
      <c r="D35" s="4">
        <f t="shared" si="0"/>
        <v>1.5873641469694888E-2</v>
      </c>
      <c r="E35" s="23">
        <f t="shared" si="4"/>
        <v>1.5882171289966718E-2</v>
      </c>
    </row>
    <row r="36" spans="1:5">
      <c r="A36" s="14">
        <f t="shared" si="1"/>
        <v>28</v>
      </c>
      <c r="B36" s="4">
        <f t="shared" si="2"/>
        <v>4.2723775177695008E-3</v>
      </c>
      <c r="C36" s="4">
        <f t="shared" si="3"/>
        <v>4.6253655785212865E-2</v>
      </c>
      <c r="D36" s="4">
        <f t="shared" si="0"/>
        <v>1.6866760998002508E-2</v>
      </c>
      <c r="E36" s="23">
        <f t="shared" si="4"/>
        <v>1.6875824478499755E-2</v>
      </c>
    </row>
    <row r="37" spans="1:5">
      <c r="A37" s="14">
        <f t="shared" si="1"/>
        <v>29</v>
      </c>
      <c r="B37" s="4">
        <f t="shared" si="2"/>
        <v>6.1590377541699184E-3</v>
      </c>
      <c r="C37" s="4">
        <f t="shared" si="3"/>
        <v>4.5563576466425629E-2</v>
      </c>
      <c r="D37" s="4">
        <f t="shared" si="0"/>
        <v>1.7980399367846629E-2</v>
      </c>
      <c r="E37" s="23">
        <f t="shared" si="4"/>
        <v>1.79900612702725E-2</v>
      </c>
    </row>
    <row r="38" spans="1:5">
      <c r="A38" s="14">
        <f t="shared" si="1"/>
        <v>30</v>
      </c>
      <c r="B38" s="4">
        <f t="shared" si="2"/>
        <v>8.5167333090200026E-3</v>
      </c>
      <c r="C38" s="4">
        <f t="shared" si="3"/>
        <v>4.4326920044603618E-2</v>
      </c>
      <c r="D38" s="4">
        <f t="shared" si="0"/>
        <v>1.9259789329695087E-2</v>
      </c>
      <c r="E38" s="23">
        <f t="shared" si="4"/>
        <v>1.927013872191043E-2</v>
      </c>
    </row>
    <row r="39" spans="1:5">
      <c r="A39" s="14">
        <f t="shared" si="1"/>
        <v>31</v>
      </c>
      <c r="B39" s="4">
        <f t="shared" si="2"/>
        <v>1.1338245862031108E-2</v>
      </c>
      <c r="C39" s="4">
        <f t="shared" si="3"/>
        <v>4.2641551497928559E-2</v>
      </c>
      <c r="D39" s="4">
        <f t="shared" si="0"/>
        <v>2.0729237552800341E-2</v>
      </c>
      <c r="E39" s="23">
        <f t="shared" si="4"/>
        <v>2.0740376564036989E-2</v>
      </c>
    </row>
    <row r="40" spans="1:5">
      <c r="A40" s="14">
        <f t="shared" si="1"/>
        <v>32</v>
      </c>
      <c r="B40" s="4">
        <f t="shared" si="2"/>
        <v>1.457972746646008E-2</v>
      </c>
      <c r="C40" s="4">
        <f t="shared" si="3"/>
        <v>4.060590633443454E-2</v>
      </c>
      <c r="D40" s="4">
        <f t="shared" ref="D40:D56" si="5">$B$4*B40 + $D$4*C40</f>
        <v>2.2387581126852414E-2</v>
      </c>
      <c r="E40" s="23">
        <f t="shared" si="4"/>
        <v>2.2399611261443627E-2</v>
      </c>
    </row>
    <row r="41" spans="1:5">
      <c r="A41" s="14">
        <f t="shared" si="1"/>
        <v>33</v>
      </c>
      <c r="B41" s="4">
        <f t="shared" si="2"/>
        <v>1.8161357132661204E-2</v>
      </c>
      <c r="C41" s="4">
        <f t="shared" si="3"/>
        <v>3.8313991899695261E-2</v>
      </c>
      <c r="D41" s="4">
        <f t="shared" si="5"/>
        <v>2.4207147562771418E-2</v>
      </c>
      <c r="E41" s="23">
        <f t="shared" si="4"/>
        <v>2.4220155455030944E-2</v>
      </c>
    </row>
    <row r="42" spans="1:5">
      <c r="A42" s="14">
        <f t="shared" si="1"/>
        <v>34</v>
      </c>
      <c r="B42" s="4">
        <f t="shared" si="2"/>
        <v>2.1972226801625434E-2</v>
      </c>
      <c r="C42" s="4">
        <f t="shared" si="3"/>
        <v>3.58519061086063E-2</v>
      </c>
      <c r="D42" s="4">
        <f t="shared" si="5"/>
        <v>2.6136130593719692E-2</v>
      </c>
      <c r="E42" s="23">
        <f t="shared" si="4"/>
        <v>2.6150175039475327E-2</v>
      </c>
    </row>
    <row r="43" spans="1:5">
      <c r="A43" s="14">
        <f t="shared" si="1"/>
        <v>35</v>
      </c>
      <c r="B43" s="4">
        <f t="shared" si="2"/>
        <v>2.5878689309857671E-2</v>
      </c>
      <c r="C43" s="4">
        <f t="shared" si="3"/>
        <v>3.3295690593193338E-2</v>
      </c>
      <c r="D43" s="4">
        <f t="shared" si="5"/>
        <v>2.8103789694858369E-2</v>
      </c>
      <c r="E43" s="23">
        <f t="shared" si="4"/>
        <v>2.811889147698644E-2</v>
      </c>
    </row>
    <row r="44" spans="1:5">
      <c r="A44" s="14">
        <f t="shared" si="1"/>
        <v>36</v>
      </c>
      <c r="B44" s="4">
        <f t="shared" si="2"/>
        <v>2.9734936380041252E-2</v>
      </c>
      <c r="C44" s="4">
        <f t="shared" si="3"/>
        <v>3.0710283185594524E-2</v>
      </c>
      <c r="D44" s="4">
        <f t="shared" si="5"/>
        <v>3.002754042170723E-2</v>
      </c>
      <c r="E44" s="23">
        <f t="shared" si="4"/>
        <v>3.0043675945713569E-2</v>
      </c>
    </row>
    <row r="45" spans="1:5">
      <c r="A45" s="14">
        <f t="shared" si="1"/>
        <v>37</v>
      </c>
      <c r="B45" s="4">
        <f t="shared" si="2"/>
        <v>3.3394375985568388E-2</v>
      </c>
      <c r="C45" s="4">
        <f t="shared" si="3"/>
        <v>2.8149322813264179E-2</v>
      </c>
      <c r="D45" s="4">
        <f t="shared" si="5"/>
        <v>3.1820860033877123E-2</v>
      </c>
      <c r="E45" s="23">
        <f t="shared" si="4"/>
        <v>3.1837959211624224E-2</v>
      </c>
    </row>
    <row r="46" spans="1:5">
      <c r="A46" s="14">
        <f t="shared" si="1"/>
        <v>38</v>
      </c>
      <c r="B46" s="4">
        <f t="shared" si="2"/>
        <v>3.6720435702600092E-2</v>
      </c>
      <c r="C46" s="4">
        <f t="shared" si="3"/>
        <v>2.565557420555507E-2</v>
      </c>
      <c r="D46" s="4">
        <f t="shared" si="5"/>
        <v>3.3400977253486584E-2</v>
      </c>
      <c r="E46" s="23">
        <f t="shared" si="4"/>
        <v>3.3418925519070108E-2</v>
      </c>
    </row>
    <row r="47" spans="1:5">
      <c r="A47" s="14">
        <f t="shared" si="1"/>
        <v>39</v>
      </c>
      <c r="B47" s="4">
        <f t="shared" si="2"/>
        <v>3.9595673963560458E-2</v>
      </c>
      <c r="C47" s="4">
        <f t="shared" si="3"/>
        <v>2.3261768986312433E-2</v>
      </c>
      <c r="D47" s="4">
        <f t="shared" si="5"/>
        <v>3.4695502470386046E-2</v>
      </c>
      <c r="E47" s="23">
        <f t="shared" si="4"/>
        <v>3.4714146358801837E-2</v>
      </c>
    </row>
    <row r="48" spans="1:5">
      <c r="A48" s="14">
        <f t="shared" si="1"/>
        <v>40</v>
      </c>
      <c r="B48" s="4">
        <f t="shared" si="2"/>
        <v>4.1928452782596125E-2</v>
      </c>
      <c r="C48" s="4">
        <f t="shared" si="3"/>
        <v>2.0991695404890306E-2</v>
      </c>
      <c r="D48" s="4">
        <f t="shared" si="5"/>
        <v>3.564742556928438E-2</v>
      </c>
      <c r="E48" s="23">
        <f t="shared" si="4"/>
        <v>3.5666580980715332E-2</v>
      </c>
    </row>
    <row r="49" spans="1:5">
      <c r="A49" s="14">
        <f t="shared" si="1"/>
        <v>41</v>
      </c>
      <c r="B49" s="4">
        <f t="shared" si="2"/>
        <v>4.3656830597820738E-2</v>
      </c>
      <c r="C49" s="4">
        <f t="shared" si="3"/>
        <v>1.8861405463909374E-2</v>
      </c>
      <c r="D49" s="4">
        <f t="shared" si="5"/>
        <v>3.6218203057647322E-2</v>
      </c>
      <c r="E49" s="23">
        <f t="shared" si="4"/>
        <v>3.6237665180641608E-2</v>
      </c>
    </row>
    <row r="50" spans="1:5">
      <c r="A50" s="14">
        <f t="shared" si="1"/>
        <v>42</v>
      </c>
      <c r="B50" s="4">
        <f t="shared" si="2"/>
        <v>4.4749704259734464E-2</v>
      </c>
      <c r="C50" s="4">
        <f t="shared" si="3"/>
        <v>1.688044204239646E-2</v>
      </c>
      <c r="D50" s="4">
        <f t="shared" si="5"/>
        <v>3.6388925594533057E-2</v>
      </c>
      <c r="E50" s="23">
        <f t="shared" si="4"/>
        <v>3.6408479456562698E-2</v>
      </c>
    </row>
    <row r="51" spans="1:5">
      <c r="A51" s="14">
        <f t="shared" si="1"/>
        <v>43</v>
      </c>
      <c r="B51" s="4">
        <f t="shared" si="2"/>
        <v>4.5205519820707647E-2</v>
      </c>
      <c r="C51" s="4">
        <f t="shared" si="3"/>
        <v>1.5053017933617739E-2</v>
      </c>
      <c r="D51" s="4">
        <f t="shared" si="5"/>
        <v>3.615976925458067E-2</v>
      </c>
      <c r="E51" s="23">
        <f t="shared" si="4"/>
        <v>3.6179199977732709E-2</v>
      </c>
    </row>
    <row r="52" spans="1:5">
      <c r="A52" s="14">
        <f t="shared" si="1"/>
        <v>44</v>
      </c>
      <c r="B52" s="4">
        <f t="shared" si="2"/>
        <v>4.5049061826044678E-2</v>
      </c>
      <c r="C52" s="4">
        <f t="shared" si="3"/>
        <v>1.3379102810328541E-2</v>
      </c>
      <c r="D52" s="4">
        <f t="shared" si="5"/>
        <v>3.5548074121329834E-2</v>
      </c>
      <c r="E52" s="23">
        <f t="shared" si="4"/>
        <v>3.5567176145515245E-2</v>
      </c>
    </row>
    <row r="53" spans="1:5">
      <c r="A53" s="14">
        <f t="shared" si="1"/>
        <v>45</v>
      </c>
      <c r="B53" s="4">
        <f t="shared" si="2"/>
        <v>4.4326920044603618E-2</v>
      </c>
      <c r="C53" s="4">
        <f t="shared" si="3"/>
        <v>1.1855393029643668E-2</v>
      </c>
      <c r="D53" s="4">
        <f t="shared" si="5"/>
        <v>3.4585461940115629E-2</v>
      </c>
      <c r="E53" s="23">
        <f t="shared" si="4"/>
        <v>3.4604046697427338E-2</v>
      </c>
    </row>
    <row r="54" spans="1:5">
      <c r="A54" s="14">
        <f t="shared" si="1"/>
        <v>46</v>
      </c>
      <c r="B54" s="4">
        <f t="shared" si="2"/>
        <v>4.3102235239297196E-2</v>
      </c>
      <c r="C54" s="4">
        <f t="shared" si="3"/>
        <v>1.0476153360626184E-2</v>
      </c>
      <c r="D54" s="4">
        <f t="shared" si="5"/>
        <v>3.3314410675695891E-2</v>
      </c>
      <c r="E54" s="23">
        <f t="shared" si="4"/>
        <v>3.3332312424079719E-2</v>
      </c>
    </row>
    <row r="55" spans="1:5">
      <c r="A55" s="14">
        <f t="shared" si="1"/>
        <v>47</v>
      </c>
      <c r="B55" s="22">
        <f t="shared" si="2"/>
        <v>4.1449263768117625E-2</v>
      </c>
      <c r="C55" s="23">
        <f t="shared" si="3"/>
        <v>9.2339298369732634E-3</v>
      </c>
      <c r="D55" s="23">
        <f t="shared" si="5"/>
        <v>3.1784663588774312E-2</v>
      </c>
      <c r="E55" s="23">
        <f t="shared" si="4"/>
        <v>3.1801743316090217E-2</v>
      </c>
    </row>
    <row r="56" spans="1:5">
      <c r="A56" s="14">
        <f t="shared" si="1"/>
        <v>48</v>
      </c>
      <c r="B56" s="22">
        <f t="shared" ref="B56:B93" si="6">IF(A56&gt;0,_xlfn.LOGNORM.DIST(A56,$B$2,$B$3,FALSE),0)</f>
        <v>3.944819879865899E-2</v>
      </c>
      <c r="C56" s="23">
        <f t="shared" ref="C56:C93" si="7">IF(A56&gt;0,_xlfn.LOGNORM.DIST(A56,$D$2,$D$3,FALSE),0)</f>
        <v>8.1201397463927256E-3</v>
      </c>
      <c r="D56" s="23">
        <f t="shared" ref="D56:D93" si="8">$B$4*B56 + $D$4*C56</f>
        <v>3.0049781082979107E-2</v>
      </c>
      <c r="E56" s="23">
        <f t="shared" si="4"/>
        <v>3.0065928558171549E-2</v>
      </c>
    </row>
    <row r="57" spans="1:5">
      <c r="A57" s="14">
        <f t="shared" si="1"/>
        <v>49</v>
      </c>
      <c r="B57" s="22">
        <f t="shared" si="6"/>
        <v>3.7180566024861035E-2</v>
      </c>
      <c r="C57" s="23">
        <f t="shared" si="7"/>
        <v>7.1255489828620875E-3</v>
      </c>
      <c r="D57" s="23">
        <f t="shared" si="8"/>
        <v>2.8164060912261351E-2</v>
      </c>
      <c r="E57" s="23">
        <f t="shared" si="4"/>
        <v>2.8179195081580035E-2</v>
      </c>
    </row>
    <row r="58" spans="1:5">
      <c r="A58" s="14">
        <f t="shared" si="1"/>
        <v>50</v>
      </c>
      <c r="B58" s="22">
        <f t="shared" si="6"/>
        <v>3.4725391904983867E-2</v>
      </c>
      <c r="C58" s="23">
        <f t="shared" si="7"/>
        <v>6.240649247429203E-3</v>
      </c>
      <c r="D58" s="23">
        <f t="shared" si="8"/>
        <v>2.6179969107717468E-2</v>
      </c>
      <c r="E58" s="23">
        <f t="shared" si="4"/>
        <v>2.619403711042732E-2</v>
      </c>
    </row>
    <row r="59" spans="1:5">
      <c r="A59" s="14">
        <f t="shared" si="1"/>
        <v>51</v>
      </c>
      <c r="B59" s="22">
        <f t="shared" si="6"/>
        <v>3.215623514466337E-2</v>
      </c>
      <c r="C59" s="23">
        <f t="shared" si="7"/>
        <v>5.4559484290868099E-3</v>
      </c>
      <c r="D59" s="23">
        <f t="shared" si="8"/>
        <v>2.4146149129990403E-2</v>
      </c>
      <c r="E59" s="23">
        <f t="shared" si="4"/>
        <v>2.4159124244284676E-2</v>
      </c>
    </row>
    <row r="60" spans="1:5">
      <c r="A60" s="14">
        <f t="shared" si="1"/>
        <v>52</v>
      </c>
      <c r="B60" s="22">
        <f t="shared" si="6"/>
        <v>2.953908474594125E-2</v>
      </c>
      <c r="C60" s="23">
        <f t="shared" si="7"/>
        <v>4.7621873689149162E-3</v>
      </c>
      <c r="D60" s="23">
        <f t="shared" si="8"/>
        <v>2.210601553283335E-2</v>
      </c>
      <c r="E60" s="23">
        <f t="shared" si="4"/>
        <v>2.2117894366041304E-2</v>
      </c>
    </row>
    <row r="61" spans="1:5">
      <c r="A61" s="14">
        <f t="shared" si="1"/>
        <v>53</v>
      </c>
      <c r="B61" s="22">
        <f t="shared" si="6"/>
        <v>2.6931063318281687E-2</v>
      </c>
      <c r="C61" s="23">
        <f t="shared" si="7"/>
        <v>4.1504954516964005E-3</v>
      </c>
      <c r="D61" s="23">
        <f t="shared" si="8"/>
        <v>2.0096892958306103E-2</v>
      </c>
      <c r="E61" s="23">
        <f t="shared" si="4"/>
        <v>2.010769217443328E-2</v>
      </c>
    </row>
    <row r="62" spans="1:5">
      <c r="A62" s="14">
        <f t="shared" si="1"/>
        <v>54</v>
      </c>
      <c r="B62" s="22">
        <f t="shared" si="6"/>
        <v>2.437983206375182E-2</v>
      </c>
      <c r="C62" s="23">
        <f t="shared" si="7"/>
        <v>3.6124963389608414E-3</v>
      </c>
      <c r="D62" s="23">
        <f t="shared" si="8"/>
        <v>1.8149631346314525E-2</v>
      </c>
      <c r="E62" s="23">
        <f t="shared" si="4"/>
        <v>1.8159384186813007E-2</v>
      </c>
    </row>
    <row r="63" spans="1:5">
      <c r="A63" s="14">
        <f t="shared" si="1"/>
        <v>55</v>
      </c>
      <c r="B63" s="22">
        <f t="shared" si="6"/>
        <v>2.192357129307497E-2</v>
      </c>
      <c r="C63" s="23">
        <f t="shared" si="7"/>
        <v>3.1403738448580057E-3</v>
      </c>
      <c r="D63" s="23">
        <f t="shared" si="8"/>
        <v>1.6288612058609882E-2</v>
      </c>
      <c r="E63" s="23">
        <f t="shared" si="4"/>
        <v>1.6297364866439311E-2</v>
      </c>
    </row>
    <row r="64" spans="1:5">
      <c r="A64" s="14">
        <f t="shared" si="1"/>
        <v>56</v>
      </c>
      <c r="B64" s="22">
        <f t="shared" si="6"/>
        <v>1.9591403728387607E-2</v>
      </c>
      <c r="C64" s="23">
        <f t="shared" si="7"/>
        <v>2.7269065936153612E-3</v>
      </c>
      <c r="D64" s="23">
        <f t="shared" si="8"/>
        <v>1.4532054587955933E-2</v>
      </c>
      <c r="E64" s="23">
        <f t="shared" si="4"/>
        <v>1.4539863496457006E-2</v>
      </c>
    </row>
    <row r="65" spans="1:5">
      <c r="A65" s="14">
        <f t="shared" si="1"/>
        <v>57</v>
      </c>
      <c r="B65" s="22">
        <f t="shared" si="6"/>
        <v>1.7404133064267066E-2</v>
      </c>
      <c r="C65" s="23">
        <f t="shared" si="7"/>
        <v>2.3654787725944193E-3</v>
      </c>
      <c r="D65" s="23">
        <f t="shared" si="8"/>
        <v>1.2892536776765271E-2</v>
      </c>
      <c r="E65" s="23">
        <f t="shared" si="4"/>
        <v>1.2899464678076619E-2</v>
      </c>
    </row>
    <row r="66" spans="1:5">
      <c r="A66" s="14">
        <f t="shared" si="1"/>
        <v>58</v>
      </c>
      <c r="B66" s="22">
        <f t="shared" si="6"/>
        <v>1.5375183346510822E-2</v>
      </c>
      <c r="C66" s="23">
        <f t="shared" si="7"/>
        <v>2.0500730627346924E-3</v>
      </c>
      <c r="D66" s="23">
        <f t="shared" si="8"/>
        <v>1.1377650261377983E-2</v>
      </c>
      <c r="E66" s="23">
        <f t="shared" si="4"/>
        <v>1.138376412706095E-2</v>
      </c>
    </row>
    <row r="67" spans="1:5">
      <c r="A67" s="14">
        <f t="shared" si="1"/>
        <v>59</v>
      </c>
      <c r="B67" s="22">
        <f t="shared" si="6"/>
        <v>1.3511642275577947E-2</v>
      </c>
      <c r="C67" s="23">
        <f t="shared" si="7"/>
        <v>1.7752507186365575E-3</v>
      </c>
      <c r="D67" s="23">
        <f t="shared" si="8"/>
        <v>9.9907248084955286E-3</v>
      </c>
      <c r="E67" s="23">
        <f t="shared" si="4"/>
        <v>9.9960933993865648E-3</v>
      </c>
    </row>
    <row r="68" spans="1:5">
      <c r="A68" s="14">
        <f t="shared" si="1"/>
        <v>60</v>
      </c>
      <c r="B68" s="22">
        <f t="shared" si="6"/>
        <v>1.1815330827274581E-2</v>
      </c>
      <c r="C68" s="23">
        <f t="shared" si="7"/>
        <v>1.5361227965869576E-3</v>
      </c>
      <c r="D68" s="23">
        <f t="shared" si="8"/>
        <v>8.7315684180682938E-3</v>
      </c>
      <c r="E68" s="23">
        <f t="shared" si="4"/>
        <v>8.736260391831183E-3</v>
      </c>
    </row>
    <row r="69" spans="1:5">
      <c r="A69" s="14">
        <f t="shared" si="1"/>
        <v>61</v>
      </c>
      <c r="B69" s="22">
        <f t="shared" si="6"/>
        <v>1.0283840606255576E-2</v>
      </c>
      <c r="C69" s="23">
        <f t="shared" si="7"/>
        <v>1.328315691668607E-3</v>
      </c>
      <c r="D69" s="23">
        <f t="shared" si="8"/>
        <v>7.5971831318794852E-3</v>
      </c>
      <c r="E69" s="23">
        <f t="shared" si="4"/>
        <v>7.6012655352026819E-3</v>
      </c>
    </row>
    <row r="70" spans="1:5">
      <c r="A70" s="14">
        <f t="shared" si="1"/>
        <v>62</v>
      </c>
      <c r="B70" s="22">
        <f t="shared" si="6"/>
        <v>8.9114977714315115E-3</v>
      </c>
      <c r="C70" s="23">
        <f t="shared" si="7"/>
        <v>1.147933438391989E-3</v>
      </c>
      <c r="D70" s="23">
        <f t="shared" si="8"/>
        <v>6.5824284715196545E-3</v>
      </c>
      <c r="E70" s="23">
        <f t="shared" si="4"/>
        <v>6.5859655888169952E-3</v>
      </c>
    </row>
    <row r="71" spans="1:5">
      <c r="A71" s="14">
        <f t="shared" si="1"/>
        <v>63</v>
      </c>
      <c r="B71" s="22">
        <f t="shared" si="6"/>
        <v>7.6902274204360731E-3</v>
      </c>
      <c r="C71" s="23">
        <f t="shared" si="7"/>
        <v>9.9151864229253474E-4</v>
      </c>
      <c r="D71" s="23">
        <f t="shared" si="8"/>
        <v>5.6806147869930112E-3</v>
      </c>
      <c r="E71" s="23">
        <f t="shared" si="4"/>
        <v>5.6836673079447451E-3</v>
      </c>
    </row>
    <row r="72" spans="1:5">
      <c r="A72" s="14">
        <f t="shared" si="1"/>
        <v>64</v>
      </c>
      <c r="B72" s="22">
        <f t="shared" si="6"/>
        <v>6.610304656188796E-3</v>
      </c>
      <c r="C72" s="23">
        <f t="shared" si="7"/>
        <v>8.5601342964341371E-4</v>
      </c>
      <c r="D72" s="23">
        <f t="shared" si="8"/>
        <v>4.8840172882251816E-3</v>
      </c>
      <c r="E72" s="23">
        <f t="shared" si="4"/>
        <v>4.8866417515376868E-3</v>
      </c>
    </row>
    <row r="73" spans="1:5">
      <c r="A73" s="14">
        <f t="shared" ref="A73:A93" si="9">A72+$F$2</f>
        <v>65</v>
      </c>
      <c r="B73" s="22">
        <f t="shared" si="6"/>
        <v>5.6609881644676492E-3</v>
      </c>
      <c r="C73" s="23">
        <f t="shared" si="7"/>
        <v>7.3872141510617688E-4</v>
      </c>
      <c r="D73" s="23">
        <f t="shared" si="8"/>
        <v>4.1843081396592072E-3</v>
      </c>
      <c r="E73" s="23">
        <f t="shared" ref="E73:E93" si="10">IF($D$94&gt;0, D73/$D$94, 0)</f>
        <v>4.1865566090139791E-3</v>
      </c>
    </row>
    <row r="74" spans="1:5">
      <c r="A74" s="14">
        <f t="shared" si="9"/>
        <v>66</v>
      </c>
      <c r="B74" s="22">
        <f t="shared" si="6"/>
        <v>4.8310392013583801E-3</v>
      </c>
      <c r="C74" s="23">
        <f t="shared" si="7"/>
        <v>6.372713792886836E-4</v>
      </c>
      <c r="D74" s="23">
        <f t="shared" si="8"/>
        <v>3.572908854737471E-3</v>
      </c>
      <c r="E74" s="23">
        <f t="shared" si="10"/>
        <v>3.5748287841019287E-3</v>
      </c>
    </row>
    <row r="75" spans="1:5">
      <c r="A75" s="14">
        <f t="shared" si="9"/>
        <v>67</v>
      </c>
      <c r="B75" s="22">
        <f t="shared" si="6"/>
        <v>4.1091337412776374E-3</v>
      </c>
      <c r="C75" s="23">
        <f t="shared" si="7"/>
        <v>5.4958310716985781E-4</v>
      </c>
      <c r="D75" s="23">
        <f t="shared" si="8"/>
        <v>3.0412685510453033E-3</v>
      </c>
      <c r="E75" s="23">
        <f t="shared" si="10"/>
        <v>3.0429027995060808E-3</v>
      </c>
    </row>
    <row r="76" spans="1:5">
      <c r="A76" s="14">
        <f t="shared" si="9"/>
        <v>68</v>
      </c>
      <c r="B76" s="22">
        <f t="shared" si="6"/>
        <v>3.4841785439039402E-3</v>
      </c>
      <c r="C76" s="23">
        <f t="shared" si="7"/>
        <v>4.7383565274806917E-4</v>
      </c>
      <c r="D76" s="23">
        <f t="shared" si="8"/>
        <v>2.5810756765571787E-3</v>
      </c>
      <c r="E76" s="23">
        <f t="shared" si="10"/>
        <v>2.5824626369261058E-3</v>
      </c>
    </row>
    <row r="77" spans="1:5">
      <c r="A77" s="14">
        <f t="shared" si="9"/>
        <v>69</v>
      </c>
      <c r="B77" s="22">
        <f t="shared" si="6"/>
        <v>2.9455434434778787E-3</v>
      </c>
      <c r="C77" s="23">
        <f t="shared" si="7"/>
        <v>4.0843815498004096E-4</v>
      </c>
      <c r="D77" s="23">
        <f t="shared" si="8"/>
        <v>2.1844118569285271E-3</v>
      </c>
      <c r="E77" s="23">
        <f t="shared" si="10"/>
        <v>2.1855856670196035E-3</v>
      </c>
    </row>
    <row r="78" spans="1:5">
      <c r="A78" s="14">
        <f t="shared" si="9"/>
        <v>70</v>
      </c>
      <c r="B78" s="22">
        <f t="shared" si="6"/>
        <v>2.4832226042368079E-3</v>
      </c>
      <c r="C78" s="23">
        <f t="shared" si="7"/>
        <v>3.5200322637271201E-4</v>
      </c>
      <c r="D78" s="23">
        <f t="shared" si="8"/>
        <v>1.843856790877579E-3</v>
      </c>
      <c r="E78" s="23">
        <f t="shared" si="10"/>
        <v>1.8448476011502695E-3</v>
      </c>
    </row>
    <row r="79" spans="1:5">
      <c r="A79" s="14">
        <f t="shared" si="9"/>
        <v>71</v>
      </c>
      <c r="B79" s="22">
        <f t="shared" si="6"/>
        <v>2.0879371364477916E-3</v>
      </c>
      <c r="C79" s="23">
        <f t="shared" si="7"/>
        <v>3.0332286105135822E-4</v>
      </c>
      <c r="D79" s="23">
        <f t="shared" si="8"/>
        <v>1.5525528538288616E-3</v>
      </c>
      <c r="E79" s="23">
        <f t="shared" si="10"/>
        <v>1.5533871297466438E-3</v>
      </c>
    </row>
    <row r="80" spans="1:5">
      <c r="A80" s="14">
        <f t="shared" si="9"/>
        <v>72</v>
      </c>
      <c r="B80" s="22">
        <f t="shared" si="6"/>
        <v>1.7511905928712405E-3</v>
      </c>
      <c r="C80" s="23">
        <f t="shared" si="7"/>
        <v>2.6134675753758803E-4</v>
      </c>
      <c r="D80" s="23">
        <f t="shared" si="8"/>
        <v>1.3042374422711446E-3</v>
      </c>
      <c r="E80" s="23">
        <f t="shared" si="10"/>
        <v>1.3049382840405396E-3</v>
      </c>
    </row>
    <row r="81" spans="1:5">
      <c r="A81" s="14">
        <f t="shared" si="9"/>
        <v>73</v>
      </c>
      <c r="B81" s="22">
        <f t="shared" si="6"/>
        <v>1.4652876774171404E-3</v>
      </c>
      <c r="C81" s="23">
        <f t="shared" si="7"/>
        <v>2.2516291769188941E-4</v>
      </c>
      <c r="D81" s="23">
        <f t="shared" si="8"/>
        <v>1.0932502494995651E-3</v>
      </c>
      <c r="E81" s="23">
        <f t="shared" si="10"/>
        <v>1.0938377157188423E-3</v>
      </c>
    </row>
    <row r="82" spans="1:5">
      <c r="A82" s="14">
        <f t="shared" si="9"/>
        <v>74</v>
      </c>
      <c r="B82" s="22">
        <f t="shared" si="6"/>
        <v>1.2233251588324597E-3</v>
      </c>
      <c r="C82" s="23">
        <f t="shared" si="7"/>
        <v>1.9398036310908757E-4</v>
      </c>
      <c r="D82" s="23">
        <f t="shared" si="8"/>
        <v>9.1452172011544802E-4</v>
      </c>
      <c r="E82" s="23">
        <f t="shared" si="10"/>
        <v>9.1501314521926945E-4</v>
      </c>
    </row>
    <row r="83" spans="1:5">
      <c r="A83" s="14">
        <f t="shared" si="9"/>
        <v>75</v>
      </c>
      <c r="B83" s="22">
        <f t="shared" si="6"/>
        <v>1.0191626114770774E-3</v>
      </c>
      <c r="C83" s="23">
        <f t="shared" si="7"/>
        <v>1.6711380031180661E-4</v>
      </c>
      <c r="D83" s="23">
        <f t="shared" si="8"/>
        <v>7.6354796812749608E-4</v>
      </c>
      <c r="E83" s="23">
        <f t="shared" si="10"/>
        <v>7.639582663536141E-4</v>
      </c>
    </row>
    <row r="84" spans="1:5">
      <c r="A84" s="14">
        <f t="shared" si="9"/>
        <v>76</v>
      </c>
      <c r="B84" s="22">
        <f t="shared" si="6"/>
        <v>8.4737928488881923E-4</v>
      </c>
      <c r="C84" s="23">
        <f t="shared" si="7"/>
        <v>1.4397006366003256E-4</v>
      </c>
      <c r="D84" s="23">
        <f t="shared" si="8"/>
        <v>6.363565185201832E-4</v>
      </c>
      <c r="E84" s="23">
        <f t="shared" si="10"/>
        <v>6.3669846946711286E-4</v>
      </c>
    </row>
    <row r="85" spans="1:5">
      <c r="A85" s="14">
        <f t="shared" si="9"/>
        <v>77</v>
      </c>
      <c r="B85" s="22">
        <f t="shared" si="6"/>
        <v>7.0322218657730047E-4</v>
      </c>
      <c r="C85" s="23">
        <f t="shared" si="7"/>
        <v>1.2403616784767966E-4</v>
      </c>
      <c r="D85" s="23">
        <f t="shared" si="8"/>
        <v>5.2946638095841415E-4</v>
      </c>
      <c r="E85" s="23">
        <f t="shared" si="10"/>
        <v>5.2975089368841207E-4</v>
      </c>
    </row>
    <row r="86" spans="1:5">
      <c r="A86" s="14">
        <f t="shared" si="9"/>
        <v>78</v>
      </c>
      <c r="B86" s="22">
        <f t="shared" si="6"/>
        <v>5.8254937804623919E-4</v>
      </c>
      <c r="C86" s="23">
        <f t="shared" si="7"/>
        <v>1.0686880852264546E-4</v>
      </c>
      <c r="D86" s="23">
        <f t="shared" si="8"/>
        <v>4.3984520718916102E-4</v>
      </c>
      <c r="E86" s="23">
        <f t="shared" si="10"/>
        <v>4.4008156130941203E-4</v>
      </c>
    </row>
    <row r="87" spans="1:5">
      <c r="A87" s="14">
        <f t="shared" si="9"/>
        <v>79</v>
      </c>
      <c r="B87" s="22">
        <f t="shared" si="6"/>
        <v>4.8177154511809073E-4</v>
      </c>
      <c r="C87" s="23">
        <f t="shared" si="7"/>
        <v>9.208515866204193E-5</v>
      </c>
      <c r="D87" s="23">
        <f t="shared" si="8"/>
        <v>3.6486562918127606E-4</v>
      </c>
      <c r="E87" s="23">
        <f t="shared" si="10"/>
        <v>3.6506169246305209E-4</v>
      </c>
    </row>
    <row r="88" spans="1:5">
      <c r="A88" s="14">
        <f t="shared" si="9"/>
        <v>80</v>
      </c>
      <c r="B88" s="22">
        <f t="shared" si="6"/>
        <v>3.977941108502362E-4</v>
      </c>
      <c r="C88" s="23">
        <f t="shared" si="7"/>
        <v>7.9354818884694658E-5</v>
      </c>
      <c r="D88" s="23">
        <f t="shared" si="8"/>
        <v>3.0226232326057372E-4</v>
      </c>
      <c r="E88" s="23">
        <f t="shared" si="10"/>
        <v>3.02424746186484E-4</v>
      </c>
    </row>
    <row r="89" spans="1:5">
      <c r="A89" s="14">
        <f t="shared" si="9"/>
        <v>81</v>
      </c>
      <c r="B89" s="22">
        <f t="shared" si="6"/>
        <v>3.2796150528535803E-4</v>
      </c>
      <c r="C89" s="23">
        <f t="shared" si="7"/>
        <v>6.8392791161703593E-5</v>
      </c>
      <c r="D89" s="23">
        <f t="shared" si="8"/>
        <v>2.5009089104826166E-4</v>
      </c>
      <c r="E89" s="23">
        <f t="shared" si="10"/>
        <v>2.502252792638665E-4</v>
      </c>
    </row>
    <row r="90" spans="1:5">
      <c r="A90" s="14">
        <f t="shared" si="9"/>
        <v>82</v>
      </c>
      <c r="B90" s="22">
        <f t="shared" si="6"/>
        <v>2.7000467866922565E-4</v>
      </c>
      <c r="C90" s="23">
        <f t="shared" si="7"/>
        <v>5.895335686148273E-5</v>
      </c>
      <c r="D90" s="23">
        <f t="shared" si="8"/>
        <v>2.0668928212690276E-4</v>
      </c>
      <c r="E90" s="23">
        <f t="shared" si="10"/>
        <v>2.0680034816250787E-4</v>
      </c>
    </row>
    <row r="91" spans="1:5">
      <c r="A91" s="14">
        <f t="shared" si="9"/>
        <v>83</v>
      </c>
      <c r="B91" s="22">
        <f t="shared" si="6"/>
        <v>2.2199252874843941E-4</v>
      </c>
      <c r="C91" s="23">
        <f t="shared" si="7"/>
        <v>5.0824751359653504E-5</v>
      </c>
      <c r="D91" s="23">
        <f t="shared" si="8"/>
        <v>1.7064219553180362E-4</v>
      </c>
      <c r="E91" s="23">
        <f t="shared" si="10"/>
        <v>1.7073389139512872E-4</v>
      </c>
    </row>
    <row r="92" spans="1:5">
      <c r="A92" s="14">
        <f t="shared" si="9"/>
        <v>84</v>
      </c>
      <c r="B92" s="22">
        <f t="shared" si="6"/>
        <v>1.8228759262593094E-4</v>
      </c>
      <c r="C92" s="23">
        <f t="shared" si="7"/>
        <v>4.3824538296761101E-5</v>
      </c>
      <c r="D92" s="23">
        <f t="shared" si="8"/>
        <v>1.4074867632717997E-4</v>
      </c>
      <c r="E92" s="23">
        <f t="shared" si="10"/>
        <v>1.4082430868380468E-4</v>
      </c>
    </row>
    <row r="93" spans="1:5" ht="16" thickBot="1">
      <c r="A93" s="15">
        <f t="shared" si="9"/>
        <v>85</v>
      </c>
      <c r="B93" s="24">
        <f t="shared" si="6"/>
        <v>1.4950611399439657E-4</v>
      </c>
      <c r="C93" s="12">
        <f t="shared" si="7"/>
        <v>3.7795596808465792E-5</v>
      </c>
      <c r="D93" s="12">
        <f t="shared" si="8"/>
        <v>1.1599295883861732E-4</v>
      </c>
      <c r="E93" s="12">
        <f t="shared" si="10"/>
        <v>1.1605528852481945E-4</v>
      </c>
    </row>
    <row r="94" spans="1:5">
      <c r="A94" s="25" t="s">
        <v>9</v>
      </c>
      <c r="B94" s="26">
        <f>SUM(B8:B93)</f>
        <v>0.99933575946369835</v>
      </c>
      <c r="C94" s="26">
        <f t="shared" ref="C94:E94" si="11">SUM(C8:C93)</f>
        <v>0.99975966491646229</v>
      </c>
      <c r="D94" s="26">
        <f t="shared" si="11"/>
        <v>0.99946293109952677</v>
      </c>
      <c r="E94" s="26">
        <f t="shared" si="11"/>
        <v>1</v>
      </c>
    </row>
  </sheetData>
  <mergeCells count="2">
    <mergeCell ref="A1:E1"/>
    <mergeCell ref="T1:U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Retail</vt:lpstr>
      <vt:lpstr>Büro</vt:lpstr>
      <vt:lpstr>Logistikzentrum</vt:lpstr>
      <vt:lpstr>Autobahn</vt:lpstr>
      <vt:lpstr>Industrie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Grau</cp:lastModifiedBy>
  <dcterms:created xsi:type="dcterms:W3CDTF">2025-11-07T16:06:13Z</dcterms:created>
  <dcterms:modified xsi:type="dcterms:W3CDTF">2025-11-09T17:15:21Z</dcterms:modified>
</cp:coreProperties>
</file>