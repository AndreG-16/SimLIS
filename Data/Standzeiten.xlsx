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ndregrau/Desktop/Thesis/To-Dos/"/>
    </mc:Choice>
  </mc:AlternateContent>
  <xr:revisionPtr revIDLastSave="0" documentId="13_ncr:1_{D3A95BF6-30FD-5D41-A59C-EC9BD323D5C8}" xr6:coauthVersionLast="47" xr6:coauthVersionMax="47" xr10:uidLastSave="{00000000-0000-0000-0000-000000000000}"/>
  <bookViews>
    <workbookView xWindow="11960" yWindow="500" windowWidth="16840" windowHeight="17500" xr2:uid="{00000000-000D-0000-FFFF-FFFF00000000}"/>
  </bookViews>
  <sheets>
    <sheet name="Retail" sheetId="2" r:id="rId1"/>
    <sheet name="Büro" sheetId="3" r:id="rId2"/>
    <sheet name="Logistikzentrum" sheetId="1" r:id="rId3"/>
    <sheet name="Autobahn" sheetId="4" r:id="rId4"/>
    <sheet name="Industri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8" i="4"/>
  <c r="K3" i="4"/>
  <c r="K2" i="4"/>
  <c r="K3" i="2"/>
  <c r="K2" i="2"/>
  <c r="A10" i="5"/>
  <c r="A9" i="5"/>
  <c r="C8" i="5"/>
  <c r="B8" i="5"/>
  <c r="B5" i="5"/>
  <c r="D2" i="5"/>
  <c r="B2" i="5"/>
  <c r="A10" i="4"/>
  <c r="A9" i="4"/>
  <c r="B8" i="4"/>
  <c r="B5" i="4"/>
  <c r="D2" i="4"/>
  <c r="B2" i="4"/>
  <c r="A9" i="3"/>
  <c r="A10" i="3" s="1"/>
  <c r="C8" i="3"/>
  <c r="B8" i="3"/>
  <c r="B5" i="3"/>
  <c r="D2" i="3"/>
  <c r="B2" i="3"/>
  <c r="A9" i="2"/>
  <c r="B8" i="2"/>
  <c r="B5" i="2"/>
  <c r="D2" i="2"/>
  <c r="B2" i="2"/>
  <c r="B2" i="1"/>
  <c r="D2" i="1"/>
  <c r="C8" i="1"/>
  <c r="B8" i="1"/>
  <c r="D8" i="1" s="1"/>
  <c r="A9" i="1"/>
  <c r="A10" i="1" s="1"/>
  <c r="C10" i="1" s="1"/>
  <c r="B5" i="1"/>
  <c r="C9" i="5" l="1"/>
  <c r="B10" i="5"/>
  <c r="C9" i="3"/>
  <c r="C10" i="4"/>
  <c r="C9" i="4"/>
  <c r="D8" i="4"/>
  <c r="C9" i="2"/>
  <c r="B9" i="5"/>
  <c r="D8" i="5"/>
  <c r="C10" i="5"/>
  <c r="A11" i="5"/>
  <c r="B10" i="4"/>
  <c r="B9" i="4"/>
  <c r="A11" i="4"/>
  <c r="D8" i="3"/>
  <c r="A11" i="3"/>
  <c r="C10" i="3"/>
  <c r="B10" i="3"/>
  <c r="B9" i="3"/>
  <c r="D8" i="2"/>
  <c r="A10" i="2"/>
  <c r="B9" i="2"/>
  <c r="C9" i="1"/>
  <c r="B10" i="1"/>
  <c r="D10" i="1" s="1"/>
  <c r="B9" i="1"/>
  <c r="D9" i="1" s="1"/>
  <c r="A11" i="1"/>
  <c r="D9" i="5" l="1"/>
  <c r="D9" i="3"/>
  <c r="D9" i="4"/>
  <c r="D10" i="4"/>
  <c r="D9" i="2"/>
  <c r="B11" i="5"/>
  <c r="A12" i="5"/>
  <c r="C11" i="5"/>
  <c r="D10" i="5"/>
  <c r="B11" i="4"/>
  <c r="A12" i="4"/>
  <c r="C11" i="4"/>
  <c r="D10" i="3"/>
  <c r="B11" i="3"/>
  <c r="A12" i="3"/>
  <c r="C11" i="3"/>
  <c r="A11" i="2"/>
  <c r="C10" i="2"/>
  <c r="B10" i="2"/>
  <c r="C11" i="1"/>
  <c r="B11" i="1"/>
  <c r="A12" i="1"/>
  <c r="D11" i="5" l="1"/>
  <c r="D10" i="2"/>
  <c r="C12" i="5"/>
  <c r="B12" i="5"/>
  <c r="A13" i="5"/>
  <c r="B12" i="4"/>
  <c r="C12" i="4"/>
  <c r="A13" i="4"/>
  <c r="D11" i="4"/>
  <c r="D11" i="3"/>
  <c r="C12" i="3"/>
  <c r="B12" i="3"/>
  <c r="A13" i="3"/>
  <c r="B11" i="2"/>
  <c r="A12" i="2"/>
  <c r="C11" i="2"/>
  <c r="D11" i="1"/>
  <c r="C12" i="1"/>
  <c r="B12" i="1"/>
  <c r="A13" i="1"/>
  <c r="B13" i="5" l="1"/>
  <c r="C13" i="5"/>
  <c r="A14" i="5"/>
  <c r="D12" i="5"/>
  <c r="C13" i="4"/>
  <c r="A14" i="4"/>
  <c r="B13" i="4"/>
  <c r="D12" i="4"/>
  <c r="D12" i="3"/>
  <c r="A14" i="3"/>
  <c r="C13" i="3"/>
  <c r="B13" i="3"/>
  <c r="C12" i="2"/>
  <c r="B12" i="2"/>
  <c r="A13" i="2"/>
  <c r="D11" i="2"/>
  <c r="D12" i="1"/>
  <c r="C13" i="1"/>
  <c r="B13" i="1"/>
  <c r="A14" i="1"/>
  <c r="D13" i="3" l="1"/>
  <c r="D12" i="2"/>
  <c r="C14" i="5"/>
  <c r="A15" i="5"/>
  <c r="B14" i="5"/>
  <c r="D13" i="5"/>
  <c r="D13" i="4"/>
  <c r="C14" i="4"/>
  <c r="A15" i="4"/>
  <c r="B14" i="4"/>
  <c r="C14" i="3"/>
  <c r="B14" i="3"/>
  <c r="A15" i="3"/>
  <c r="A14" i="2"/>
  <c r="C13" i="2"/>
  <c r="B13" i="2"/>
  <c r="D13" i="1"/>
  <c r="C14" i="1"/>
  <c r="B14" i="1"/>
  <c r="A15" i="1"/>
  <c r="D14" i="3" l="1"/>
  <c r="A16" i="5"/>
  <c r="C15" i="5"/>
  <c r="B15" i="5"/>
  <c r="D14" i="5"/>
  <c r="A16" i="4"/>
  <c r="C15" i="4"/>
  <c r="B15" i="4"/>
  <c r="D14" i="4"/>
  <c r="A16" i="3"/>
  <c r="C15" i="3"/>
  <c r="B15" i="3"/>
  <c r="C14" i="2"/>
  <c r="B14" i="2"/>
  <c r="A15" i="2"/>
  <c r="D13" i="2"/>
  <c r="D14" i="1"/>
  <c r="B15" i="1"/>
  <c r="C15" i="1"/>
  <c r="A16" i="1"/>
  <c r="D15" i="5" l="1"/>
  <c r="D14" i="2"/>
  <c r="A17" i="5"/>
  <c r="C16" i="5"/>
  <c r="B16" i="5"/>
  <c r="D15" i="4"/>
  <c r="B16" i="4"/>
  <c r="A17" i="4"/>
  <c r="C16" i="4"/>
  <c r="D15" i="3"/>
  <c r="A17" i="3"/>
  <c r="C16" i="3"/>
  <c r="B16" i="3"/>
  <c r="A16" i="2"/>
  <c r="C15" i="2"/>
  <c r="B15" i="2"/>
  <c r="D15" i="1"/>
  <c r="B16" i="1"/>
  <c r="C16" i="1"/>
  <c r="A17" i="1"/>
  <c r="D16" i="5" l="1"/>
  <c r="D16" i="3"/>
  <c r="A18" i="5"/>
  <c r="C17" i="5"/>
  <c r="B17" i="5"/>
  <c r="A18" i="4"/>
  <c r="C17" i="4"/>
  <c r="B17" i="4"/>
  <c r="D17" i="4" s="1"/>
  <c r="D16" i="4"/>
  <c r="C17" i="3"/>
  <c r="B17" i="3"/>
  <c r="A18" i="3"/>
  <c r="D15" i="2"/>
  <c r="A17" i="2"/>
  <c r="C16" i="2"/>
  <c r="B16" i="2"/>
  <c r="D16" i="1"/>
  <c r="B17" i="1"/>
  <c r="C17" i="1"/>
  <c r="A18" i="1"/>
  <c r="D17" i="5" l="1"/>
  <c r="D17" i="3"/>
  <c r="D16" i="2"/>
  <c r="A19" i="5"/>
  <c r="B18" i="5"/>
  <c r="C18" i="5"/>
  <c r="B18" i="4"/>
  <c r="A19" i="4"/>
  <c r="C18" i="4"/>
  <c r="A19" i="3"/>
  <c r="C18" i="3"/>
  <c r="B18" i="3"/>
  <c r="C17" i="2"/>
  <c r="B17" i="2"/>
  <c r="A18" i="2"/>
  <c r="D17" i="1"/>
  <c r="C18" i="1"/>
  <c r="B18" i="1"/>
  <c r="A19" i="1"/>
  <c r="D18" i="3" l="1"/>
  <c r="D18" i="4"/>
  <c r="D17" i="2"/>
  <c r="D18" i="5"/>
  <c r="B19" i="5"/>
  <c r="A20" i="5"/>
  <c r="C19" i="5"/>
  <c r="B19" i="4"/>
  <c r="A20" i="4"/>
  <c r="C19" i="4"/>
  <c r="B19" i="3"/>
  <c r="A20" i="3"/>
  <c r="C19" i="3"/>
  <c r="A19" i="2"/>
  <c r="C18" i="2"/>
  <c r="B18" i="2"/>
  <c r="D18" i="1"/>
  <c r="C19" i="1"/>
  <c r="B19" i="1"/>
  <c r="A20" i="1"/>
  <c r="D18" i="2" l="1"/>
  <c r="B20" i="5"/>
  <c r="C20" i="5"/>
  <c r="A21" i="5"/>
  <c r="D19" i="5"/>
  <c r="B20" i="4"/>
  <c r="C20" i="4"/>
  <c r="A21" i="4"/>
  <c r="D19" i="4"/>
  <c r="C20" i="3"/>
  <c r="B20" i="3"/>
  <c r="A21" i="3"/>
  <c r="D19" i="3"/>
  <c r="B19" i="2"/>
  <c r="A20" i="2"/>
  <c r="C19" i="2"/>
  <c r="D19" i="1"/>
  <c r="C20" i="1"/>
  <c r="B20" i="1"/>
  <c r="A21" i="1"/>
  <c r="D20" i="5" l="1"/>
  <c r="D20" i="3"/>
  <c r="B21" i="5"/>
  <c r="A22" i="5"/>
  <c r="C21" i="5"/>
  <c r="A22" i="4"/>
  <c r="C21" i="4"/>
  <c r="B21" i="4"/>
  <c r="D20" i="4"/>
  <c r="A22" i="3"/>
  <c r="C21" i="3"/>
  <c r="B21" i="3"/>
  <c r="C20" i="2"/>
  <c r="B20" i="2"/>
  <c r="A21" i="2"/>
  <c r="D19" i="2"/>
  <c r="D20" i="1"/>
  <c r="C21" i="1"/>
  <c r="B21" i="1"/>
  <c r="A22" i="1"/>
  <c r="D21" i="3" l="1"/>
  <c r="D21" i="4"/>
  <c r="D20" i="2"/>
  <c r="C22" i="5"/>
  <c r="B22" i="5"/>
  <c r="A23" i="5"/>
  <c r="D21" i="5"/>
  <c r="C22" i="4"/>
  <c r="A23" i="4"/>
  <c r="B22" i="4"/>
  <c r="C22" i="3"/>
  <c r="B22" i="3"/>
  <c r="A23" i="3"/>
  <c r="A22" i="2"/>
  <c r="C21" i="2"/>
  <c r="B21" i="2"/>
  <c r="D21" i="2" s="1"/>
  <c r="D21" i="1"/>
  <c r="C22" i="1"/>
  <c r="B22" i="1"/>
  <c r="D22" i="1" s="1"/>
  <c r="A23" i="1"/>
  <c r="D22" i="5" l="1"/>
  <c r="D22" i="3"/>
  <c r="A24" i="5"/>
  <c r="C23" i="5"/>
  <c r="B23" i="5"/>
  <c r="D22" i="4"/>
  <c r="A24" i="4"/>
  <c r="C23" i="4"/>
  <c r="B23" i="4"/>
  <c r="D23" i="4" s="1"/>
  <c r="A24" i="3"/>
  <c r="C23" i="3"/>
  <c r="B23" i="3"/>
  <c r="C22" i="2"/>
  <c r="B22" i="2"/>
  <c r="A23" i="2"/>
  <c r="C23" i="1"/>
  <c r="B23" i="1"/>
  <c r="D23" i="1" s="1"/>
  <c r="A24" i="1"/>
  <c r="D23" i="5" l="1"/>
  <c r="D23" i="3"/>
  <c r="D22" i="2"/>
  <c r="A25" i="5"/>
  <c r="C24" i="5"/>
  <c r="B24" i="5"/>
  <c r="A25" i="4"/>
  <c r="C24" i="4"/>
  <c r="B24" i="4"/>
  <c r="A25" i="3"/>
  <c r="C24" i="3"/>
  <c r="B24" i="3"/>
  <c r="A24" i="2"/>
  <c r="C23" i="2"/>
  <c r="B23" i="2"/>
  <c r="B24" i="1"/>
  <c r="C24" i="1"/>
  <c r="A25" i="1"/>
  <c r="D24" i="5" l="1"/>
  <c r="D24" i="4"/>
  <c r="D23" i="2"/>
  <c r="C25" i="5"/>
  <c r="A26" i="5"/>
  <c r="B25" i="5"/>
  <c r="C25" i="4"/>
  <c r="B25" i="4"/>
  <c r="A26" i="4"/>
  <c r="D24" i="3"/>
  <c r="C25" i="3"/>
  <c r="B25" i="3"/>
  <c r="A26" i="3"/>
  <c r="A25" i="2"/>
  <c r="C24" i="2"/>
  <c r="B24" i="2"/>
  <c r="D24" i="1"/>
  <c r="B25" i="1"/>
  <c r="C25" i="1"/>
  <c r="A26" i="1"/>
  <c r="D25" i="5" l="1"/>
  <c r="D25" i="3"/>
  <c r="D25" i="4"/>
  <c r="D24" i="2"/>
  <c r="A27" i="5"/>
  <c r="C26" i="5"/>
  <c r="B26" i="5"/>
  <c r="C26" i="4"/>
  <c r="A27" i="4"/>
  <c r="B26" i="4"/>
  <c r="A27" i="3"/>
  <c r="C26" i="3"/>
  <c r="B26" i="3"/>
  <c r="C25" i="2"/>
  <c r="B25" i="2"/>
  <c r="A26" i="2"/>
  <c r="D25" i="1"/>
  <c r="C26" i="1"/>
  <c r="B26" i="1"/>
  <c r="A27" i="1"/>
  <c r="D26" i="5" l="1"/>
  <c r="D26" i="3"/>
  <c r="D26" i="4"/>
  <c r="D25" i="2"/>
  <c r="B27" i="5"/>
  <c r="A28" i="5"/>
  <c r="C27" i="5"/>
  <c r="B27" i="4"/>
  <c r="A28" i="4"/>
  <c r="C27" i="4"/>
  <c r="B27" i="3"/>
  <c r="A28" i="3"/>
  <c r="C27" i="3"/>
  <c r="A27" i="2"/>
  <c r="C26" i="2"/>
  <c r="B26" i="2"/>
  <c r="D26" i="1"/>
  <c r="C27" i="1"/>
  <c r="B27" i="1"/>
  <c r="A28" i="1"/>
  <c r="D26" i="2" l="1"/>
  <c r="B28" i="5"/>
  <c r="C28" i="5"/>
  <c r="A29" i="5"/>
  <c r="D27" i="5"/>
  <c r="B28" i="4"/>
  <c r="C28" i="4"/>
  <c r="A29" i="4"/>
  <c r="D27" i="4"/>
  <c r="B28" i="3"/>
  <c r="C28" i="3"/>
  <c r="A29" i="3"/>
  <c r="D27" i="3"/>
  <c r="B27" i="2"/>
  <c r="A28" i="2"/>
  <c r="C27" i="2"/>
  <c r="D27" i="1"/>
  <c r="C28" i="1"/>
  <c r="B28" i="1"/>
  <c r="A29" i="1"/>
  <c r="D28" i="3" l="1"/>
  <c r="B29" i="5"/>
  <c r="C29" i="5"/>
  <c r="A30" i="5"/>
  <c r="D28" i="5"/>
  <c r="C29" i="4"/>
  <c r="B29" i="4"/>
  <c r="A30" i="4"/>
  <c r="D28" i="4"/>
  <c r="A30" i="3"/>
  <c r="C29" i="3"/>
  <c r="B29" i="3"/>
  <c r="C28" i="2"/>
  <c r="B28" i="2"/>
  <c r="A29" i="2"/>
  <c r="D27" i="2"/>
  <c r="D28" i="1"/>
  <c r="C29" i="1"/>
  <c r="B29" i="1"/>
  <c r="D29" i="1" s="1"/>
  <c r="A30" i="1"/>
  <c r="D29" i="3" l="1"/>
  <c r="D29" i="4"/>
  <c r="D28" i="2"/>
  <c r="C30" i="5"/>
  <c r="A31" i="5"/>
  <c r="B30" i="5"/>
  <c r="D29" i="5"/>
  <c r="C30" i="4"/>
  <c r="A31" i="4"/>
  <c r="B30" i="4"/>
  <c r="C30" i="3"/>
  <c r="B30" i="3"/>
  <c r="A31" i="3"/>
  <c r="A30" i="2"/>
  <c r="C29" i="2"/>
  <c r="B29" i="2"/>
  <c r="C30" i="1"/>
  <c r="B30" i="1"/>
  <c r="D30" i="1" s="1"/>
  <c r="A31" i="1"/>
  <c r="D30" i="5" l="1"/>
  <c r="D30" i="3"/>
  <c r="D30" i="4"/>
  <c r="D29" i="2"/>
  <c r="A32" i="5"/>
  <c r="C31" i="5"/>
  <c r="B31" i="5"/>
  <c r="A32" i="4"/>
  <c r="B31" i="4"/>
  <c r="C31" i="4"/>
  <c r="A32" i="3"/>
  <c r="C31" i="3"/>
  <c r="B31" i="3"/>
  <c r="C30" i="2"/>
  <c r="B30" i="2"/>
  <c r="A31" i="2"/>
  <c r="B31" i="1"/>
  <c r="C31" i="1"/>
  <c r="A32" i="1"/>
  <c r="D31" i="5" l="1"/>
  <c r="D31" i="3"/>
  <c r="D30" i="2"/>
  <c r="A33" i="5"/>
  <c r="C32" i="5"/>
  <c r="B32" i="5"/>
  <c r="D32" i="5" s="1"/>
  <c r="D31" i="4"/>
  <c r="A33" i="4"/>
  <c r="C32" i="4"/>
  <c r="B32" i="4"/>
  <c r="D32" i="4" s="1"/>
  <c r="A33" i="3"/>
  <c r="C32" i="3"/>
  <c r="B32" i="3"/>
  <c r="A32" i="2"/>
  <c r="C31" i="2"/>
  <c r="B31" i="2"/>
  <c r="D31" i="1"/>
  <c r="B32" i="1"/>
  <c r="C32" i="1"/>
  <c r="A33" i="1"/>
  <c r="D32" i="3" l="1"/>
  <c r="D31" i="2"/>
  <c r="A34" i="5"/>
  <c r="C33" i="5"/>
  <c r="B33" i="5"/>
  <c r="C33" i="4"/>
  <c r="A34" i="4"/>
  <c r="B33" i="4"/>
  <c r="C33" i="3"/>
  <c r="B33" i="3"/>
  <c r="A34" i="3"/>
  <c r="A33" i="2"/>
  <c r="C32" i="2"/>
  <c r="B32" i="2"/>
  <c r="D32" i="1"/>
  <c r="B33" i="1"/>
  <c r="C33" i="1"/>
  <c r="A34" i="1"/>
  <c r="D33" i="5" l="1"/>
  <c r="D33" i="3"/>
  <c r="D33" i="4"/>
  <c r="D32" i="2"/>
  <c r="A35" i="5"/>
  <c r="C34" i="5"/>
  <c r="B34" i="5"/>
  <c r="B34" i="4"/>
  <c r="A35" i="4"/>
  <c r="C34" i="4"/>
  <c r="A35" i="3"/>
  <c r="C34" i="3"/>
  <c r="B34" i="3"/>
  <c r="B33" i="2"/>
  <c r="C33" i="2"/>
  <c r="A34" i="2"/>
  <c r="D33" i="1"/>
  <c r="C34" i="1"/>
  <c r="B34" i="1"/>
  <c r="A35" i="1"/>
  <c r="D34" i="5" l="1"/>
  <c r="D34" i="3"/>
  <c r="B35" i="5"/>
  <c r="A36" i="5"/>
  <c r="C35" i="5"/>
  <c r="B35" i="4"/>
  <c r="A36" i="4"/>
  <c r="C35" i="4"/>
  <c r="D34" i="4"/>
  <c r="B35" i="3"/>
  <c r="A36" i="3"/>
  <c r="C35" i="3"/>
  <c r="A35" i="2"/>
  <c r="C34" i="2"/>
  <c r="B34" i="2"/>
  <c r="D34" i="2" s="1"/>
  <c r="D33" i="2"/>
  <c r="D34" i="1"/>
  <c r="C35" i="1"/>
  <c r="B35" i="1"/>
  <c r="A36" i="1"/>
  <c r="C36" i="5" l="1"/>
  <c r="B36" i="5"/>
  <c r="A37" i="5"/>
  <c r="D35" i="5"/>
  <c r="B36" i="4"/>
  <c r="C36" i="4"/>
  <c r="A37" i="4"/>
  <c r="D35" i="4"/>
  <c r="B36" i="3"/>
  <c r="C36" i="3"/>
  <c r="A37" i="3"/>
  <c r="D35" i="3"/>
  <c r="B35" i="2"/>
  <c r="A36" i="2"/>
  <c r="C35" i="2"/>
  <c r="D35" i="1"/>
  <c r="C36" i="1"/>
  <c r="B36" i="1"/>
  <c r="A37" i="1"/>
  <c r="D36" i="5" l="1"/>
  <c r="D36" i="4"/>
  <c r="C37" i="5"/>
  <c r="B37" i="5"/>
  <c r="A38" i="5"/>
  <c r="C37" i="4"/>
  <c r="B37" i="4"/>
  <c r="A38" i="4"/>
  <c r="A38" i="3"/>
  <c r="C37" i="3"/>
  <c r="B37" i="3"/>
  <c r="D36" i="3"/>
  <c r="C36" i="2"/>
  <c r="B36" i="2"/>
  <c r="A37" i="2"/>
  <c r="D35" i="2"/>
  <c r="D36" i="1"/>
  <c r="C37" i="1"/>
  <c r="B37" i="1"/>
  <c r="D37" i="1" s="1"/>
  <c r="A38" i="1"/>
  <c r="D37" i="5" l="1"/>
  <c r="D37" i="4"/>
  <c r="D36" i="2"/>
  <c r="C38" i="5"/>
  <c r="B38" i="5"/>
  <c r="A39" i="5"/>
  <c r="C38" i="4"/>
  <c r="B38" i="4"/>
  <c r="D38" i="4" s="1"/>
  <c r="A39" i="4"/>
  <c r="D37" i="3"/>
  <c r="C38" i="3"/>
  <c r="B38" i="3"/>
  <c r="A39" i="3"/>
  <c r="A38" i="2"/>
  <c r="C37" i="2"/>
  <c r="B37" i="2"/>
  <c r="B38" i="1"/>
  <c r="C38" i="1"/>
  <c r="A39" i="1"/>
  <c r="D38" i="5" l="1"/>
  <c r="D38" i="3"/>
  <c r="D37" i="2"/>
  <c r="A40" i="5"/>
  <c r="C39" i="5"/>
  <c r="B39" i="5"/>
  <c r="A40" i="4"/>
  <c r="C39" i="4"/>
  <c r="B39" i="4"/>
  <c r="D39" i="4" s="1"/>
  <c r="A40" i="3"/>
  <c r="C39" i="3"/>
  <c r="B39" i="3"/>
  <c r="C38" i="2"/>
  <c r="B38" i="2"/>
  <c r="D38" i="2" s="1"/>
  <c r="A39" i="2"/>
  <c r="D38" i="1"/>
  <c r="B39" i="1"/>
  <c r="C39" i="1"/>
  <c r="A40" i="1"/>
  <c r="D39" i="5" l="1"/>
  <c r="D39" i="3"/>
  <c r="C40" i="5"/>
  <c r="A41" i="5"/>
  <c r="B40" i="5"/>
  <c r="A41" i="4"/>
  <c r="C40" i="4"/>
  <c r="B40" i="4"/>
  <c r="A41" i="3"/>
  <c r="C40" i="3"/>
  <c r="B40" i="3"/>
  <c r="A40" i="2"/>
  <c r="C39" i="2"/>
  <c r="B39" i="2"/>
  <c r="D39" i="1"/>
  <c r="B40" i="1"/>
  <c r="C40" i="1"/>
  <c r="A41" i="1"/>
  <c r="D40" i="5" l="1"/>
  <c r="D40" i="3"/>
  <c r="D40" i="4"/>
  <c r="D39" i="2"/>
  <c r="A42" i="5"/>
  <c r="C41" i="5"/>
  <c r="B41" i="5"/>
  <c r="A42" i="4"/>
  <c r="C41" i="4"/>
  <c r="B41" i="4"/>
  <c r="C41" i="3"/>
  <c r="B41" i="3"/>
  <c r="A42" i="3"/>
  <c r="A41" i="2"/>
  <c r="B40" i="2"/>
  <c r="C40" i="2"/>
  <c r="D40" i="1"/>
  <c r="B41" i="1"/>
  <c r="C41" i="1"/>
  <c r="A42" i="1"/>
  <c r="D41" i="5" l="1"/>
  <c r="D41" i="3"/>
  <c r="D41" i="4"/>
  <c r="B42" i="5"/>
  <c r="A43" i="5"/>
  <c r="C42" i="5"/>
  <c r="B42" i="4"/>
  <c r="A43" i="4"/>
  <c r="C42" i="4"/>
  <c r="A43" i="3"/>
  <c r="C42" i="3"/>
  <c r="B42" i="3"/>
  <c r="D40" i="2"/>
  <c r="B41" i="2"/>
  <c r="C41" i="2"/>
  <c r="A42" i="2"/>
  <c r="D41" i="1"/>
  <c r="C42" i="1"/>
  <c r="B42" i="1"/>
  <c r="A43" i="1"/>
  <c r="D42" i="3" l="1"/>
  <c r="B43" i="5"/>
  <c r="A44" i="5"/>
  <c r="C43" i="5"/>
  <c r="D42" i="5"/>
  <c r="B43" i="4"/>
  <c r="A44" i="4"/>
  <c r="C43" i="4"/>
  <c r="D42" i="4"/>
  <c r="B43" i="3"/>
  <c r="A44" i="3"/>
  <c r="C43" i="3"/>
  <c r="A43" i="2"/>
  <c r="C42" i="2"/>
  <c r="B42" i="2"/>
  <c r="D41" i="2"/>
  <c r="D42" i="1"/>
  <c r="C43" i="1"/>
  <c r="B43" i="1"/>
  <c r="D43" i="1" s="1"/>
  <c r="A44" i="1"/>
  <c r="D42" i="2" l="1"/>
  <c r="C44" i="5"/>
  <c r="B44" i="5"/>
  <c r="A45" i="5"/>
  <c r="D43" i="5"/>
  <c r="C44" i="4"/>
  <c r="B44" i="4"/>
  <c r="A45" i="4"/>
  <c r="D43" i="4"/>
  <c r="C44" i="3"/>
  <c r="B44" i="3"/>
  <c r="A45" i="3"/>
  <c r="D43" i="3"/>
  <c r="B43" i="2"/>
  <c r="A44" i="2"/>
  <c r="C43" i="2"/>
  <c r="C44" i="1"/>
  <c r="B44" i="1"/>
  <c r="D44" i="1" s="1"/>
  <c r="A45" i="1"/>
  <c r="D44" i="5" l="1"/>
  <c r="D44" i="4"/>
  <c r="C45" i="5"/>
  <c r="B45" i="5"/>
  <c r="A46" i="5"/>
  <c r="C45" i="4"/>
  <c r="A46" i="4"/>
  <c r="B45" i="4"/>
  <c r="A46" i="3"/>
  <c r="C45" i="3"/>
  <c r="B45" i="3"/>
  <c r="D44" i="3"/>
  <c r="C44" i="2"/>
  <c r="B44" i="2"/>
  <c r="A45" i="2"/>
  <c r="D43" i="2"/>
  <c r="B45" i="1"/>
  <c r="C45" i="1"/>
  <c r="A46" i="1"/>
  <c r="D45" i="5" l="1"/>
  <c r="D44" i="2"/>
  <c r="C46" i="5"/>
  <c r="A47" i="5"/>
  <c r="B46" i="5"/>
  <c r="D46" i="5" s="1"/>
  <c r="D45" i="4"/>
  <c r="C46" i="4"/>
  <c r="A47" i="4"/>
  <c r="B46" i="4"/>
  <c r="D45" i="3"/>
  <c r="C46" i="3"/>
  <c r="B46" i="3"/>
  <c r="A47" i="3"/>
  <c r="A46" i="2"/>
  <c r="C45" i="2"/>
  <c r="B45" i="2"/>
  <c r="D45" i="1"/>
  <c r="C46" i="1"/>
  <c r="B46" i="1"/>
  <c r="D46" i="1" s="1"/>
  <c r="A47" i="1"/>
  <c r="D46" i="3" l="1"/>
  <c r="D46" i="4"/>
  <c r="D45" i="2"/>
  <c r="A48" i="5"/>
  <c r="B47" i="5"/>
  <c r="C47" i="5"/>
  <c r="A48" i="4"/>
  <c r="C47" i="4"/>
  <c r="B47" i="4"/>
  <c r="A48" i="3"/>
  <c r="C47" i="3"/>
  <c r="B47" i="3"/>
  <c r="C46" i="2"/>
  <c r="B46" i="2"/>
  <c r="A47" i="2"/>
  <c r="C47" i="1"/>
  <c r="B47" i="1"/>
  <c r="D47" i="1" s="1"/>
  <c r="A48" i="1"/>
  <c r="D47" i="3" l="1"/>
  <c r="D47" i="4"/>
  <c r="D46" i="2"/>
  <c r="D47" i="5"/>
  <c r="A49" i="5"/>
  <c r="C48" i="5"/>
  <c r="B48" i="5"/>
  <c r="A49" i="4"/>
  <c r="C48" i="4"/>
  <c r="B48" i="4"/>
  <c r="A49" i="3"/>
  <c r="C48" i="3"/>
  <c r="B48" i="3"/>
  <c r="A48" i="2"/>
  <c r="C47" i="2"/>
  <c r="B47" i="2"/>
  <c r="B48" i="1"/>
  <c r="C48" i="1"/>
  <c r="A49" i="1"/>
  <c r="D48" i="5" l="1"/>
  <c r="D48" i="3"/>
  <c r="D48" i="4"/>
  <c r="D47" i="2"/>
  <c r="C49" i="5"/>
  <c r="A50" i="5"/>
  <c r="B49" i="5"/>
  <c r="C49" i="4"/>
  <c r="A50" i="4"/>
  <c r="B49" i="4"/>
  <c r="C49" i="3"/>
  <c r="B49" i="3"/>
  <c r="A50" i="3"/>
  <c r="A49" i="2"/>
  <c r="B48" i="2"/>
  <c r="C48" i="2"/>
  <c r="D48" i="1"/>
  <c r="B49" i="1"/>
  <c r="C49" i="1"/>
  <c r="A50" i="1"/>
  <c r="D49" i="5" l="1"/>
  <c r="D49" i="3"/>
  <c r="A51" i="5"/>
  <c r="B50" i="5"/>
  <c r="C50" i="5"/>
  <c r="D49" i="4"/>
  <c r="A51" i="4"/>
  <c r="B50" i="4"/>
  <c r="C50" i="4"/>
  <c r="A51" i="3"/>
  <c r="C50" i="3"/>
  <c r="B50" i="3"/>
  <c r="D48" i="2"/>
  <c r="B49" i="2"/>
  <c r="C49" i="2"/>
  <c r="A50" i="2"/>
  <c r="D49" i="1"/>
  <c r="C50" i="1"/>
  <c r="B50" i="1"/>
  <c r="D50" i="1" s="1"/>
  <c r="A51" i="1"/>
  <c r="D50" i="3" l="1"/>
  <c r="D50" i="5"/>
  <c r="B51" i="5"/>
  <c r="A52" i="5"/>
  <c r="C51" i="5"/>
  <c r="D50" i="4"/>
  <c r="B51" i="4"/>
  <c r="A52" i="4"/>
  <c r="C51" i="4"/>
  <c r="B51" i="3"/>
  <c r="A52" i="3"/>
  <c r="C51" i="3"/>
  <c r="A51" i="2"/>
  <c r="C50" i="2"/>
  <c r="B50" i="2"/>
  <c r="D49" i="2"/>
  <c r="C51" i="1"/>
  <c r="B51" i="1"/>
  <c r="A52" i="1"/>
  <c r="D50" i="2" l="1"/>
  <c r="C52" i="5"/>
  <c r="B52" i="5"/>
  <c r="A53" i="5"/>
  <c r="D51" i="5"/>
  <c r="C52" i="4"/>
  <c r="B52" i="4"/>
  <c r="A53" i="4"/>
  <c r="D51" i="4"/>
  <c r="C52" i="3"/>
  <c r="B52" i="3"/>
  <c r="A53" i="3"/>
  <c r="D51" i="3"/>
  <c r="B51" i="2"/>
  <c r="A52" i="2"/>
  <c r="C51" i="2"/>
  <c r="D51" i="1"/>
  <c r="C52" i="1"/>
  <c r="B52" i="1"/>
  <c r="D52" i="1" s="1"/>
  <c r="A53" i="1"/>
  <c r="D52" i="5" l="1"/>
  <c r="D52" i="3"/>
  <c r="D52" i="4"/>
  <c r="B53" i="5"/>
  <c r="A54" i="5"/>
  <c r="C53" i="5"/>
  <c r="A54" i="4"/>
  <c r="C53" i="4"/>
  <c r="B53" i="4"/>
  <c r="D53" i="4" s="1"/>
  <c r="A54" i="3"/>
  <c r="C53" i="3"/>
  <c r="B53" i="3"/>
  <c r="C52" i="2"/>
  <c r="B52" i="2"/>
  <c r="A53" i="2"/>
  <c r="D51" i="2"/>
  <c r="C53" i="1"/>
  <c r="B53" i="1"/>
  <c r="A54" i="1"/>
  <c r="D53" i="3" l="1"/>
  <c r="D52" i="2"/>
  <c r="C54" i="5"/>
  <c r="A55" i="5"/>
  <c r="B54" i="5"/>
  <c r="D54" i="5" s="1"/>
  <c r="D53" i="5"/>
  <c r="C54" i="4"/>
  <c r="A55" i="4"/>
  <c r="B54" i="4"/>
  <c r="C54" i="3"/>
  <c r="B54" i="3"/>
  <c r="A55" i="3"/>
  <c r="A54" i="2"/>
  <c r="C53" i="2"/>
  <c r="B53" i="2"/>
  <c r="D53" i="2" s="1"/>
  <c r="D53" i="1"/>
  <c r="C54" i="1"/>
  <c r="B54" i="1"/>
  <c r="A55" i="1"/>
  <c r="D54" i="3" l="1"/>
  <c r="D54" i="4"/>
  <c r="A56" i="5"/>
  <c r="C55" i="5"/>
  <c r="B55" i="5"/>
  <c r="A56" i="4"/>
  <c r="C55" i="4"/>
  <c r="B55" i="4"/>
  <c r="A56" i="3"/>
  <c r="C55" i="3"/>
  <c r="B55" i="3"/>
  <c r="C54" i="2"/>
  <c r="B54" i="2"/>
  <c r="A55" i="2"/>
  <c r="D54" i="1"/>
  <c r="B55" i="1"/>
  <c r="C55" i="1"/>
  <c r="A56" i="1"/>
  <c r="D55" i="3" l="1"/>
  <c r="D55" i="4"/>
  <c r="D54" i="2"/>
  <c r="D55" i="5"/>
  <c r="C56" i="5"/>
  <c r="C57" i="5" s="1"/>
  <c r="B56" i="5"/>
  <c r="C56" i="4"/>
  <c r="C57" i="4" s="1"/>
  <c r="B56" i="4"/>
  <c r="C56" i="3"/>
  <c r="C57" i="3" s="1"/>
  <c r="B56" i="3"/>
  <c r="A56" i="2"/>
  <c r="C55" i="2"/>
  <c r="B55" i="2"/>
  <c r="D55" i="1"/>
  <c r="B56" i="1"/>
  <c r="C56" i="1"/>
  <c r="C57" i="1" s="1"/>
  <c r="D55" i="2" l="1"/>
  <c r="D56" i="5"/>
  <c r="D57" i="5" s="1"/>
  <c r="B57" i="5"/>
  <c r="D56" i="4"/>
  <c r="D57" i="4" s="1"/>
  <c r="B57" i="4"/>
  <c r="D56" i="3"/>
  <c r="D57" i="3" s="1"/>
  <c r="B57" i="3"/>
  <c r="B56" i="2"/>
  <c r="C56" i="2"/>
  <c r="C57" i="2" s="1"/>
  <c r="D56" i="1"/>
  <c r="B57" i="1"/>
  <c r="E52" i="5" l="1"/>
  <c r="E44" i="5"/>
  <c r="E36" i="5"/>
  <c r="E28" i="5"/>
  <c r="E20" i="5"/>
  <c r="E12" i="5"/>
  <c r="E45" i="5"/>
  <c r="E37" i="5"/>
  <c r="E29" i="5"/>
  <c r="E21" i="5"/>
  <c r="E56" i="5"/>
  <c r="E40" i="5"/>
  <c r="E32" i="5"/>
  <c r="E16" i="5"/>
  <c r="E19" i="5"/>
  <c r="E46" i="5"/>
  <c r="E38" i="5"/>
  <c r="E22" i="5"/>
  <c r="E55" i="5"/>
  <c r="E47" i="5"/>
  <c r="E39" i="5"/>
  <c r="E31" i="5"/>
  <c r="E23" i="5"/>
  <c r="E15" i="5"/>
  <c r="E53" i="5"/>
  <c r="E13" i="5"/>
  <c r="E48" i="5"/>
  <c r="E24" i="5"/>
  <c r="E51" i="5"/>
  <c r="E35" i="5"/>
  <c r="E30" i="5"/>
  <c r="E14" i="5"/>
  <c r="E50" i="5"/>
  <c r="E42" i="5"/>
  <c r="E34" i="5"/>
  <c r="E26" i="5"/>
  <c r="E18" i="5"/>
  <c r="E10" i="5"/>
  <c r="E8" i="5"/>
  <c r="E43" i="5"/>
  <c r="E27" i="5"/>
  <c r="E11" i="5"/>
  <c r="E54" i="5"/>
  <c r="E49" i="5"/>
  <c r="E41" i="5"/>
  <c r="E33" i="5"/>
  <c r="E25" i="5"/>
  <c r="E17" i="5"/>
  <c r="E9" i="5"/>
  <c r="E52" i="4"/>
  <c r="E44" i="4"/>
  <c r="E36" i="4"/>
  <c r="E28" i="4"/>
  <c r="E20" i="4"/>
  <c r="E12" i="4"/>
  <c r="E53" i="4"/>
  <c r="E45" i="4"/>
  <c r="E13" i="4"/>
  <c r="E48" i="4"/>
  <c r="E16" i="4"/>
  <c r="E51" i="4"/>
  <c r="E27" i="4"/>
  <c r="E11" i="4"/>
  <c r="E46" i="4"/>
  <c r="E22" i="4"/>
  <c r="E25" i="4"/>
  <c r="E9" i="4"/>
  <c r="E55" i="4"/>
  <c r="E47" i="4"/>
  <c r="E39" i="4"/>
  <c r="E31" i="4"/>
  <c r="E23" i="4"/>
  <c r="E15" i="4"/>
  <c r="E29" i="4"/>
  <c r="E24" i="4"/>
  <c r="E35" i="4"/>
  <c r="E19" i="4"/>
  <c r="E54" i="4"/>
  <c r="E38" i="4"/>
  <c r="E14" i="4"/>
  <c r="E50" i="4"/>
  <c r="E42" i="4"/>
  <c r="E34" i="4"/>
  <c r="E26" i="4"/>
  <c r="E18" i="4"/>
  <c r="E10" i="4"/>
  <c r="E37" i="4"/>
  <c r="E21" i="4"/>
  <c r="E56" i="4"/>
  <c r="E40" i="4"/>
  <c r="E32" i="4"/>
  <c r="E8" i="4"/>
  <c r="E43" i="4"/>
  <c r="E30" i="4"/>
  <c r="E17" i="4"/>
  <c r="E49" i="4"/>
  <c r="E41" i="4"/>
  <c r="E33" i="4"/>
  <c r="E52" i="3"/>
  <c r="E44" i="3"/>
  <c r="E36" i="3"/>
  <c r="E28" i="3"/>
  <c r="E20" i="3"/>
  <c r="E12" i="3"/>
  <c r="E13" i="3"/>
  <c r="E55" i="3"/>
  <c r="E47" i="3"/>
  <c r="E39" i="3"/>
  <c r="E31" i="3"/>
  <c r="E23" i="3"/>
  <c r="E15" i="3"/>
  <c r="E53" i="3"/>
  <c r="E45" i="3"/>
  <c r="E21" i="3"/>
  <c r="E50" i="3"/>
  <c r="E42" i="3"/>
  <c r="E34" i="3"/>
  <c r="E26" i="3"/>
  <c r="E18" i="3"/>
  <c r="E10" i="3"/>
  <c r="E37" i="3"/>
  <c r="E29" i="3"/>
  <c r="E46" i="3"/>
  <c r="E56" i="3"/>
  <c r="E48" i="3"/>
  <c r="E40" i="3"/>
  <c r="E32" i="3"/>
  <c r="E24" i="3"/>
  <c r="E16" i="3"/>
  <c r="E8" i="3"/>
  <c r="E51" i="3"/>
  <c r="E43" i="3"/>
  <c r="E35" i="3"/>
  <c r="E27" i="3"/>
  <c r="E19" i="3"/>
  <c r="E11" i="3"/>
  <c r="E54" i="3"/>
  <c r="E38" i="3"/>
  <c r="E30" i="3"/>
  <c r="E22" i="3"/>
  <c r="E17" i="3"/>
  <c r="E41" i="3"/>
  <c r="E9" i="3"/>
  <c r="E14" i="3"/>
  <c r="E25" i="3"/>
  <c r="E49" i="3"/>
  <c r="E33" i="3"/>
  <c r="D56" i="2"/>
  <c r="D57" i="2" s="1"/>
  <c r="E9" i="2" s="1"/>
  <c r="B57" i="2"/>
  <c r="D57" i="1"/>
  <c r="E56" i="1" s="1"/>
  <c r="E30" i="1"/>
  <c r="E12" i="1"/>
  <c r="E17" i="1"/>
  <c r="E50" i="1"/>
  <c r="E34" i="1"/>
  <c r="E9" i="1"/>
  <c r="E33" i="1"/>
  <c r="E25" i="1"/>
  <c r="E39" i="1"/>
  <c r="E26" i="1"/>
  <c r="E47" i="1"/>
  <c r="E21" i="1"/>
  <c r="E32" i="1"/>
  <c r="E51" i="1"/>
  <c r="E42" i="1"/>
  <c r="E20" i="1"/>
  <c r="E49" i="1"/>
  <c r="E27" i="1"/>
  <c r="E16" i="1"/>
  <c r="E22" i="1"/>
  <c r="E28" i="1"/>
  <c r="E24" i="1"/>
  <c r="E41" i="1"/>
  <c r="E11" i="1"/>
  <c r="E55" i="1"/>
  <c r="E54" i="1"/>
  <c r="E8" i="1"/>
  <c r="E35" i="1"/>
  <c r="E40" i="1"/>
  <c r="E31" i="1"/>
  <c r="E18" i="1"/>
  <c r="E15" i="1"/>
  <c r="E37" i="1"/>
  <c r="E19" i="1"/>
  <c r="E57" i="5" l="1"/>
  <c r="E57" i="4"/>
  <c r="E57" i="3"/>
  <c r="E52" i="2"/>
  <c r="E44" i="2"/>
  <c r="E36" i="2"/>
  <c r="E28" i="2"/>
  <c r="E20" i="2"/>
  <c r="E12" i="2"/>
  <c r="E50" i="2"/>
  <c r="E42" i="2"/>
  <c r="E18" i="2"/>
  <c r="E55" i="2"/>
  <c r="E47" i="2"/>
  <c r="E39" i="2"/>
  <c r="E31" i="2"/>
  <c r="E23" i="2"/>
  <c r="E15" i="2"/>
  <c r="E34" i="2"/>
  <c r="E26" i="2"/>
  <c r="E10" i="2"/>
  <c r="E53" i="2"/>
  <c r="E45" i="2"/>
  <c r="E37" i="2"/>
  <c r="E29" i="2"/>
  <c r="E21" i="2"/>
  <c r="E13" i="2"/>
  <c r="E48" i="2"/>
  <c r="E40" i="2"/>
  <c r="E32" i="2"/>
  <c r="E24" i="2"/>
  <c r="E16" i="2"/>
  <c r="E8" i="2"/>
  <c r="E49" i="2"/>
  <c r="E33" i="2"/>
  <c r="E56" i="2"/>
  <c r="E51" i="2"/>
  <c r="E43" i="2"/>
  <c r="E35" i="2"/>
  <c r="E27" i="2"/>
  <c r="E19" i="2"/>
  <c r="E11" i="2"/>
  <c r="E54" i="2"/>
  <c r="E46" i="2"/>
  <c r="E38" i="2"/>
  <c r="E30" i="2"/>
  <c r="E22" i="2"/>
  <c r="E14" i="2"/>
  <c r="E41" i="2"/>
  <c r="E25" i="2"/>
  <c r="E17" i="2"/>
  <c r="E14" i="1"/>
  <c r="E43" i="1"/>
  <c r="E48" i="1"/>
  <c r="E23" i="1"/>
  <c r="E10" i="1"/>
  <c r="E38" i="1"/>
  <c r="E36" i="1"/>
  <c r="E52" i="1"/>
  <c r="E53" i="1"/>
  <c r="E29" i="1"/>
  <c r="E46" i="1"/>
  <c r="E44" i="1"/>
  <c r="E45" i="1"/>
  <c r="E13" i="1"/>
  <c r="E57" i="2" l="1"/>
  <c r="E57" i="1"/>
</calcChain>
</file>

<file path=xl/sharedStrings.xml><?xml version="1.0" encoding="utf-8"?>
<sst xmlns="http://schemas.openxmlformats.org/spreadsheetml/2006/main" count="117" uniqueCount="34">
  <si>
    <t>Bimodale Lognormal-Mischung (Kurzzeit + Nacht) – 15-Minuten-Raster</t>
  </si>
  <si>
    <t>μ1 (Kurzzeit, ln)</t>
  </si>
  <si>
    <t>μ2 (Nacht, ln)</t>
  </si>
  <si>
    <t>Schritt (h)</t>
  </si>
  <si>
    <t>σ1 (Kurzzeit)</t>
  </si>
  <si>
    <t>σ2 (Nacht)</t>
  </si>
  <si>
    <t>Gewicht w1</t>
  </si>
  <si>
    <t>Gewicht w2</t>
  </si>
  <si>
    <t>Max-Zeit (h)</t>
  </si>
  <si>
    <t>Summe Gewichte</t>
  </si>
  <si>
    <t>Zeit (h)</t>
  </si>
  <si>
    <t>Kurzzeit f1</t>
  </si>
  <si>
    <t>Nacht f2</t>
  </si>
  <si>
    <t>Mischung f</t>
  </si>
  <si>
    <t>Normiert f_norm</t>
  </si>
  <si>
    <t>μ1 (Kurzzeit)</t>
  </si>
  <si>
    <t>μ2 (Nacht)</t>
  </si>
  <si>
    <t>Peak [Std.]</t>
  </si>
  <si>
    <t>σ</t>
  </si>
  <si>
    <t>sehr schmal, fast Normalverteilung</t>
  </si>
  <si>
    <t>moderate Streuung, typischer Lognormal-Verlauf</t>
  </si>
  <si>
    <t>stark schief, langer rechter „Schwanz“</t>
  </si>
  <si>
    <t>Summe</t>
  </si>
  <si>
    <t>Wochenende f2</t>
  </si>
  <si>
    <t>Wochentag f1</t>
  </si>
  <si>
    <t>[min.]</t>
  </si>
  <si>
    <t>μ2 (Langzeit, ln)</t>
  </si>
  <si>
    <t>σ2 (Langzeit)</t>
  </si>
  <si>
    <t>σ2 (Kurzzeit)</t>
  </si>
  <si>
    <t>μ2 (Langzeit)</t>
  </si>
  <si>
    <t>Teilzeit f1</t>
  </si>
  <si>
    <t>Vollzeit f2</t>
  </si>
  <si>
    <t>Produktion f1</t>
  </si>
  <si>
    <t>Büro 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</si>
</sst>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-webkit-standard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0" fontId="4" fillId="0" borderId="0" xfId="0" applyFont="1"/>
    <xf numFmtId="0" fontId="4" fillId="2" borderId="2" xfId="0" applyFont="1" applyFill="1" applyBorder="1"/>
    <xf numFmtId="0" fontId="3" fillId="2" borderId="3" xfId="0" applyFont="1" applyFill="1" applyBorder="1"/>
    <xf numFmtId="0" fontId="4" fillId="2" borderId="4" xfId="0" applyFont="1" applyFill="1" applyBorder="1"/>
    <xf numFmtId="0" fontId="3" fillId="2" borderId="5" xfId="0" applyFont="1" applyFill="1" applyBorder="1"/>
    <xf numFmtId="2" fontId="6" fillId="0" borderId="0" xfId="0" applyNumberFormat="1" applyFont="1"/>
    <xf numFmtId="2" fontId="0" fillId="0" borderId="1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6" fillId="0" borderId="0" xfId="0" applyFont="1"/>
    <xf numFmtId="165" fontId="0" fillId="0" borderId="0" xfId="0" applyNumberFormat="1"/>
    <xf numFmtId="0" fontId="1" fillId="0" borderId="0" xfId="0" applyFont="1"/>
    <xf numFmtId="0" fontId="0" fillId="0" borderId="0" xfId="0"/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Retail!$B$7</c:f>
              <c:strCache>
                <c:ptCount val="1"/>
                <c:pt idx="0">
                  <c:v>Wochentag 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Retail!$A$8:$A$56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Retail!$B$8:$B$20</c:f>
              <c:numCache>
                <c:formatCode>0.00</c:formatCode>
                <c:ptCount val="13"/>
                <c:pt idx="0">
                  <c:v>0</c:v>
                </c:pt>
                <c:pt idx="1">
                  <c:v>2.5396167598368891</c:v>
                </c:pt>
                <c:pt idx="2">
                  <c:v>0.92553224283341162</c:v>
                </c:pt>
                <c:pt idx="3">
                  <c:v>0.27622866468551793</c:v>
                </c:pt>
                <c:pt idx="4">
                  <c:v>8.8799211227165262E-2</c:v>
                </c:pt>
                <c:pt idx="5">
                  <c:v>3.1431257400051524E-2</c:v>
                </c:pt>
                <c:pt idx="6">
                  <c:v>1.2140557586119757E-2</c:v>
                </c:pt>
                <c:pt idx="7">
                  <c:v>5.0543145479197008E-3</c:v>
                </c:pt>
                <c:pt idx="8">
                  <c:v>2.2429564956528069E-3</c:v>
                </c:pt>
                <c:pt idx="9">
                  <c:v>1.0513274112723073E-3</c:v>
                </c:pt>
                <c:pt idx="10">
                  <c:v>5.166329507838522E-4</c:v>
                </c:pt>
                <c:pt idx="11">
                  <c:v>2.6455917326428328E-4</c:v>
                </c:pt>
                <c:pt idx="12">
                  <c:v>1.4047618662469787E-4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E-734A-8A3A-5A91F45394DB}"/>
            </c:ext>
          </c:extLst>
        </c:ser>
        <c:ser>
          <c:idx val="1"/>
          <c:order val="1"/>
          <c:tx>
            <c:strRef>
              <c:f>Retail!$C$7</c:f>
              <c:strCache>
                <c:ptCount val="1"/>
                <c:pt idx="0">
                  <c:v>Wochenende f2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Retail!$A$8:$A$56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Retail!$C$8:$C$20</c:f>
              <c:numCache>
                <c:formatCode>0.00</c:formatCode>
                <c:ptCount val="13"/>
                <c:pt idx="0">
                  <c:v>0</c:v>
                </c:pt>
                <c:pt idx="1">
                  <c:v>1.8196044229948645</c:v>
                </c:pt>
                <c:pt idx="2">
                  <c:v>1.0833676263007752</c:v>
                </c:pt>
                <c:pt idx="3">
                  <c:v>0.50773550538087786</c:v>
                </c:pt>
                <c:pt idx="4">
                  <c:v>0.24195905582194005</c:v>
                </c:pt>
                <c:pt idx="5">
                  <c:v>0.12121205353942863</c:v>
                </c:pt>
                <c:pt idx="6">
                  <c:v>6.3900950375641419E-2</c:v>
                </c:pt>
                <c:pt idx="7">
                  <c:v>3.5273103866541859E-2</c:v>
                </c:pt>
                <c:pt idx="8">
                  <c:v>2.0270994986434324E-2</c:v>
                </c:pt>
                <c:pt idx="9">
                  <c:v>1.2065929723007573E-2</c:v>
                </c:pt>
                <c:pt idx="10">
                  <c:v>7.4061318322787058E-3</c:v>
                </c:pt>
                <c:pt idx="11">
                  <c:v>4.6705284210928058E-3</c:v>
                </c:pt>
                <c:pt idx="12">
                  <c:v>3.0167842917911331E-3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E-734A-8A3A-5A91F45394DB}"/>
            </c:ext>
          </c:extLst>
        </c:ser>
        <c:ser>
          <c:idx val="2"/>
          <c:order val="2"/>
          <c:tx>
            <c:strRef>
              <c:f>Retail!$D$7</c:f>
              <c:strCache>
                <c:ptCount val="1"/>
                <c:pt idx="0">
                  <c:v>Mischung 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Retail!$A$8:$A$56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Retail!$D$8:$D$20</c:f>
              <c:numCache>
                <c:formatCode>0.00</c:formatCode>
                <c:ptCount val="13"/>
                <c:pt idx="0">
                  <c:v>0</c:v>
                </c:pt>
                <c:pt idx="1">
                  <c:v>2.2516118251000794</c:v>
                </c:pt>
                <c:pt idx="2">
                  <c:v>0.98866639622035701</c:v>
                </c:pt>
                <c:pt idx="3">
                  <c:v>0.3688314009636619</c:v>
                </c:pt>
                <c:pt idx="4">
                  <c:v>0.15006314906507517</c:v>
                </c:pt>
                <c:pt idx="5">
                  <c:v>6.7343575855802362E-2</c:v>
                </c:pt>
                <c:pt idx="6">
                  <c:v>3.2844714701928422E-2</c:v>
                </c:pt>
                <c:pt idx="7">
                  <c:v>1.7141830275368565E-2</c:v>
                </c:pt>
                <c:pt idx="8">
                  <c:v>9.4541718919654155E-3</c:v>
                </c:pt>
                <c:pt idx="9">
                  <c:v>5.4571683359664145E-3</c:v>
                </c:pt>
                <c:pt idx="10">
                  <c:v>3.2724325033817937E-3</c:v>
                </c:pt>
                <c:pt idx="11">
                  <c:v>2.0269468723956925E-3</c:v>
                </c:pt>
                <c:pt idx="12">
                  <c:v>1.2909994286912721E-3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4E-734A-8A3A-5A91F45394DB}"/>
            </c:ext>
          </c:extLst>
        </c:ser>
        <c:ser>
          <c:idx val="3"/>
          <c:order val="3"/>
          <c:tx>
            <c:strRef>
              <c:f>Retail!$E$7</c:f>
              <c:strCache>
                <c:ptCount val="1"/>
                <c:pt idx="0">
                  <c:v>Normiert f_norm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Retail!$A$8:$A$56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Retail!$E$8:$E$20</c:f>
              <c:numCache>
                <c:formatCode>0.00</c:formatCode>
                <c:ptCount val="13"/>
                <c:pt idx="0">
                  <c:v>0</c:v>
                </c:pt>
                <c:pt idx="1">
                  <c:v>0.57722513749635262</c:v>
                </c:pt>
                <c:pt idx="2">
                  <c:v>0.25345536479004471</c:v>
                </c:pt>
                <c:pt idx="3">
                  <c:v>9.4553934102188875E-2</c:v>
                </c:pt>
                <c:pt idx="4">
                  <c:v>3.8470317523924706E-2</c:v>
                </c:pt>
                <c:pt idx="5">
                  <c:v>1.7264256831274093E-2</c:v>
                </c:pt>
                <c:pt idx="6">
                  <c:v>8.4200992144844635E-3</c:v>
                </c:pt>
                <c:pt idx="7">
                  <c:v>4.3944943028530071E-3</c:v>
                </c:pt>
                <c:pt idx="8">
                  <c:v>2.4236796100550453E-3</c:v>
                </c:pt>
                <c:pt idx="9">
                  <c:v>1.3990043523283344E-3</c:v>
                </c:pt>
                <c:pt idx="10">
                  <c:v>8.3892360159732707E-4</c:v>
                </c:pt>
                <c:pt idx="11">
                  <c:v>5.1962983764503956E-4</c:v>
                </c:pt>
                <c:pt idx="12">
                  <c:v>3.3096172014503866E-4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4E-734A-8A3A-5A91F4539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880096"/>
        <c:axId val="291881808"/>
      </c:lineChart>
      <c:catAx>
        <c:axId val="29188009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1881808"/>
        <c:crosses val="autoZero"/>
        <c:auto val="1"/>
        <c:lblAlgn val="ctr"/>
        <c:lblOffset val="100"/>
        <c:noMultiLvlLbl val="0"/>
      </c:catAx>
      <c:valAx>
        <c:axId val="29188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188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Büro!$B$7</c:f>
              <c:strCache>
                <c:ptCount val="1"/>
                <c:pt idx="0">
                  <c:v>Teilzeit 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Büro!$A$8:$A$56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Büro!$B$8:$B$56</c:f>
              <c:numCache>
                <c:formatCode>0.00</c:formatCode>
                <c:ptCount val="49"/>
                <c:pt idx="0">
                  <c:v>0</c:v>
                </c:pt>
                <c:pt idx="1">
                  <c:v>3.543134153455348E-45</c:v>
                </c:pt>
                <c:pt idx="2">
                  <c:v>2.4680069868249372E-26</c:v>
                </c:pt>
                <c:pt idx="3">
                  <c:v>9.9213418666968599E-18</c:v>
                </c:pt>
                <c:pt idx="4">
                  <c:v>1.0443663120103125E-12</c:v>
                </c:pt>
                <c:pt idx="5">
                  <c:v>1.9753146640533156E-9</c:v>
                </c:pt>
                <c:pt idx="6">
                  <c:v>3.7294766366548568E-7</c:v>
                </c:pt>
                <c:pt idx="7">
                  <c:v>1.6383873323056371E-5</c:v>
                </c:pt>
                <c:pt idx="8">
                  <c:v>2.6847694973460229E-4</c:v>
                </c:pt>
                <c:pt idx="9">
                  <c:v>2.1851003800479915E-3</c:v>
                </c:pt>
                <c:pt idx="10">
                  <c:v>1.0625952771245648E-2</c:v>
                </c:pt>
                <c:pt idx="11">
                  <c:v>3.4987475054377562E-2</c:v>
                </c:pt>
                <c:pt idx="12">
                  <c:v>8.516733309019979E-2</c:v>
                </c:pt>
                <c:pt idx="13">
                  <c:v>0.16334310514445041</c:v>
                </c:pt>
                <c:pt idx="14">
                  <c:v>0.25878689309857666</c:v>
                </c:pt>
                <c:pt idx="15">
                  <c:v>0.35106958171802666</c:v>
                </c:pt>
                <c:pt idx="16">
                  <c:v>0.4192845278259611</c:v>
                </c:pt>
                <c:pt idx="17">
                  <c:v>0.45056264404562302</c:v>
                </c:pt>
                <c:pt idx="18">
                  <c:v>0.44326920044603618</c:v>
                </c:pt>
                <c:pt idx="19">
                  <c:v>0.4048712984370747</c:v>
                </c:pt>
                <c:pt idx="20">
                  <c:v>0.34725391904983893</c:v>
                </c:pt>
                <c:pt idx="21">
                  <c:v>0.28230729619664929</c:v>
                </c:pt>
                <c:pt idx="22">
                  <c:v>0.2192357129307502</c:v>
                </c:pt>
                <c:pt idx="23">
                  <c:v>0.16369289166576373</c:v>
                </c:pt>
                <c:pt idx="24">
                  <c:v>0.11815330827274578</c:v>
                </c:pt>
                <c:pt idx="25">
                  <c:v>8.2825556673888467E-2</c:v>
                </c:pt>
                <c:pt idx="26">
                  <c:v>5.660988164467648E-2</c:v>
                </c:pt>
                <c:pt idx="27">
                  <c:v>3.7852148040088761E-2</c:v>
                </c:pt>
                <c:pt idx="28">
                  <c:v>2.4832226042368261E-2</c:v>
                </c:pt>
                <c:pt idx="29">
                  <c:v>1.6023334364710314E-2</c:v>
                </c:pt>
                <c:pt idx="30">
                  <c:v>1.0191626114770761E-2</c:v>
                </c:pt>
                <c:pt idx="31">
                  <c:v>6.4018684477542597E-3</c:v>
                </c:pt>
                <c:pt idx="32">
                  <c:v>3.9779411085023647E-3</c:v>
                </c:pt>
                <c:pt idx="33">
                  <c:v>2.4486425339823844E-3</c:v>
                </c:pt>
                <c:pt idx="34">
                  <c:v>1.4950611399439768E-3</c:v>
                </c:pt>
                <c:pt idx="35">
                  <c:v>9.0645164166559562E-4</c:v>
                </c:pt>
                <c:pt idx="36">
                  <c:v>5.4627509501199776E-4</c:v>
                </c:pt>
                <c:pt idx="37">
                  <c:v>3.2752090059238282E-4</c:v>
                </c:pt>
                <c:pt idx="38">
                  <c:v>1.9550796295157247E-4</c:v>
                </c:pt>
                <c:pt idx="39">
                  <c:v>1.1627523676433616E-4</c:v>
                </c:pt>
                <c:pt idx="40">
                  <c:v>6.8940449602174312E-5</c:v>
                </c:pt>
                <c:pt idx="41">
                  <c:v>4.0772093980805453E-5</c:v>
                </c:pt>
                <c:pt idx="42">
                  <c:v>2.4063926112892134E-5</c:v>
                </c:pt>
                <c:pt idx="43">
                  <c:v>1.4179947565500691E-5</c:v>
                </c:pt>
                <c:pt idx="44">
                  <c:v>8.3456022267490655E-6</c:v>
                </c:pt>
                <c:pt idx="45">
                  <c:v>4.9075900283923999E-6</c:v>
                </c:pt>
                <c:pt idx="46">
                  <c:v>2.8843194166075799E-6</c:v>
                </c:pt>
                <c:pt idx="47">
                  <c:v>1.6947509823895722E-6</c:v>
                </c:pt>
                <c:pt idx="48">
                  <c:v>9.9578689300368952E-7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5-C345-B381-49B6A2460F20}"/>
            </c:ext>
          </c:extLst>
        </c:ser>
        <c:ser>
          <c:idx val="1"/>
          <c:order val="1"/>
          <c:tx>
            <c:strRef>
              <c:f>Büro!$C$7</c:f>
              <c:strCache>
                <c:ptCount val="1"/>
                <c:pt idx="0">
                  <c:v>Vollzeit f2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Büro!$A$8:$A$56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Büro!$C$8:$C$56</c:f>
              <c:numCache>
                <c:formatCode>0.00</c:formatCode>
                <c:ptCount val="49"/>
                <c:pt idx="0">
                  <c:v>0</c:v>
                </c:pt>
                <c:pt idx="1">
                  <c:v>6.3139203666405077E-32</c:v>
                </c:pt>
                <c:pt idx="2">
                  <c:v>3.2134729948617653E-21</c:v>
                </c:pt>
                <c:pt idx="3">
                  <c:v>4.9570430248105823E-16</c:v>
                </c:pt>
                <c:pt idx="4">
                  <c:v>7.8564609488564553E-13</c:v>
                </c:pt>
                <c:pt idx="5">
                  <c:v>1.2656692352350177E-10</c:v>
                </c:pt>
                <c:pt idx="6">
                  <c:v>5.3368417636570837E-9</c:v>
                </c:pt>
                <c:pt idx="7">
                  <c:v>9.4630017585507081E-8</c:v>
                </c:pt>
                <c:pt idx="8">
                  <c:v>9.2269040591139665E-7</c:v>
                </c:pt>
                <c:pt idx="9">
                  <c:v>5.834733361439857E-6</c:v>
                </c:pt>
                <c:pt idx="10">
                  <c:v>2.6655307166898445E-5</c:v>
                </c:pt>
                <c:pt idx="11">
                  <c:v>9.4725198795388366E-5</c:v>
                </c:pt>
                <c:pt idx="12">
                  <c:v>2.7600866165109877E-4</c:v>
                </c:pt>
                <c:pt idx="13">
                  <c:v>6.8536188757122138E-4</c:v>
                </c:pt>
                <c:pt idx="14">
                  <c:v>1.4930265987459159E-3</c:v>
                </c:pt>
                <c:pt idx="15">
                  <c:v>2.917793290176648E-3</c:v>
                </c:pt>
                <c:pt idx="16">
                  <c:v>5.2054922076834572E-3</c:v>
                </c:pt>
                <c:pt idx="17">
                  <c:v>8.5963638725831664E-3</c:v>
                </c:pt>
                <c:pt idx="18">
                  <c:v>1.3288278923983288E-2</c:v>
                </c:pt>
                <c:pt idx="19">
                  <c:v>1.9403656377940452E-2</c:v>
                </c:pt>
                <c:pt idx="20">
                  <c:v>2.696645800757632E-2</c:v>
                </c:pt>
                <c:pt idx="21">
                  <c:v>3.5892775589738912E-2</c:v>
                </c:pt>
                <c:pt idx="22">
                  <c:v>4.5995397183336659E-2</c:v>
                </c:pt>
                <c:pt idx="23">
                  <c:v>5.7000189023915883E-2</c:v>
                </c:pt>
                <c:pt idx="24">
                  <c:v>6.8570583220903966E-2</c:v>
                </c:pt>
                <c:pt idx="25">
                  <c:v>8.0335955348478011E-2</c:v>
                </c:pt>
                <c:pt idx="26">
                  <c:v>9.1920000080330105E-2</c:v>
                </c:pt>
                <c:pt idx="27">
                  <c:v>0.10296605593527007</c:v>
                </c:pt>
                <c:pt idx="28">
                  <c:v>0.1131573885161407</c:v>
                </c:pt>
                <c:pt idx="29">
                  <c:v>0.12223147996278219</c:v>
                </c:pt>
                <c:pt idx="30">
                  <c:v>0.12998824264147885</c:v>
                </c:pt>
                <c:pt idx="31">
                  <c:v>0.13629270941038074</c:v>
                </c:pt>
                <c:pt idx="32">
                  <c:v>0.14107314347818378</c:v>
                </c:pt>
                <c:pt idx="33">
                  <c:v>0.14431568804954403</c:v>
                </c:pt>
                <c:pt idx="34">
                  <c:v>0.14605668802079796</c:v>
                </c:pt>
                <c:pt idx="35">
                  <c:v>0.1463737153253197</c:v>
                </c:pt>
                <c:pt idx="36">
                  <c:v>0.14537616359521402</c:v>
                </c:pt>
                <c:pt idx="37">
                  <c:v>0.1431960847483528</c:v>
                </c:pt>
                <c:pt idx="38">
                  <c:v>0.13997974750927458</c:v>
                </c:pt>
                <c:pt idx="39">
                  <c:v>0.13588022347019896</c:v>
                </c:pt>
                <c:pt idx="40">
                  <c:v>0.13105115970448472</c:v>
                </c:pt>
                <c:pt idx="41">
                  <c:v>0.12564178166704118</c:v>
                </c:pt>
                <c:pt idx="42">
                  <c:v>0.11979308549650544</c:v>
                </c:pt>
                <c:pt idx="43">
                  <c:v>0.1136351216834664</c:v>
                </c:pt>
                <c:pt idx="44">
                  <c:v>0.10728523792758485</c:v>
                </c:pt>
                <c:pt idx="45">
                  <c:v>0.10084713303681893</c:v>
                </c:pt>
                <c:pt idx="46">
                  <c:v>9.4410571289071252E-2</c:v>
                </c:pt>
                <c:pt idx="47">
                  <c:v>8.8051613680039151E-2</c:v>
                </c:pt>
                <c:pt idx="48">
                  <c:v>8.1833235507211652E-2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25-C345-B381-49B6A2460F20}"/>
            </c:ext>
          </c:extLst>
        </c:ser>
        <c:ser>
          <c:idx val="2"/>
          <c:order val="2"/>
          <c:tx>
            <c:strRef>
              <c:f>Büro!$D$7</c:f>
              <c:strCache>
                <c:ptCount val="1"/>
                <c:pt idx="0">
                  <c:v>Mischung 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Büro!$A$8:$A$56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Büro!$D$8:$D$56</c:f>
              <c:numCache>
                <c:formatCode>0.00</c:formatCode>
                <c:ptCount val="49"/>
                <c:pt idx="0">
                  <c:v>0</c:v>
                </c:pt>
                <c:pt idx="1">
                  <c:v>5.3668323116444851E-32</c:v>
                </c:pt>
                <c:pt idx="2">
                  <c:v>2.7314557476429806E-21</c:v>
                </c:pt>
                <c:pt idx="3">
                  <c:v>4.2283685838890406E-16</c:v>
                </c:pt>
                <c:pt idx="4">
                  <c:v>8.2445412745434559E-13</c:v>
                </c:pt>
                <c:pt idx="5">
                  <c:v>4.0387908460297384E-10</c:v>
                </c:pt>
                <c:pt idx="6">
                  <c:v>6.0478465048931373E-8</c:v>
                </c:pt>
                <c:pt idx="7">
                  <c:v>2.5380165134061368E-6</c:v>
                </c:pt>
                <c:pt idx="8">
                  <c:v>4.1055829305215028E-5</c:v>
                </c:pt>
                <c:pt idx="9">
                  <c:v>3.327245803644226E-4</c:v>
                </c:pt>
                <c:pt idx="10">
                  <c:v>1.616549926778711E-3</c:v>
                </c:pt>
                <c:pt idx="11">
                  <c:v>5.3286376771327143E-3</c:v>
                </c:pt>
                <c:pt idx="12">
                  <c:v>1.3009707325933401E-2</c:v>
                </c:pt>
                <c:pt idx="13">
                  <c:v>2.5084023376103097E-2</c:v>
                </c:pt>
                <c:pt idx="14">
                  <c:v>4.0087106573720527E-2</c:v>
                </c:pt>
                <c:pt idx="15">
                  <c:v>5.5140561554354144E-2</c:v>
                </c:pt>
                <c:pt idx="16">
                  <c:v>6.7317347550425094E-2</c:v>
                </c:pt>
                <c:pt idx="17">
                  <c:v>7.4891305898539151E-2</c:v>
                </c:pt>
                <c:pt idx="18">
                  <c:v>7.7785417152291217E-2</c:v>
                </c:pt>
                <c:pt idx="19">
                  <c:v>7.7223802686810589E-2</c:v>
                </c:pt>
                <c:pt idx="20">
                  <c:v>7.5009577163915708E-2</c:v>
                </c:pt>
                <c:pt idx="21">
                  <c:v>7.2854953680775464E-2</c:v>
                </c:pt>
                <c:pt idx="22">
                  <c:v>7.1981444545448692E-2</c:v>
                </c:pt>
                <c:pt idx="23">
                  <c:v>7.3004094420193066E-2</c:v>
                </c:pt>
                <c:pt idx="24">
                  <c:v>7.6007991978680231E-2</c:v>
                </c:pt>
                <c:pt idx="25">
                  <c:v>8.0709395547289578E-2</c:v>
                </c:pt>
                <c:pt idx="26">
                  <c:v>8.6623482314982056E-2</c:v>
                </c:pt>
                <c:pt idx="27">
                  <c:v>9.3198969750992872E-2</c:v>
                </c:pt>
                <c:pt idx="28">
                  <c:v>9.9908614145074834E-2</c:v>
                </c:pt>
                <c:pt idx="29">
                  <c:v>0.10630025812307141</c:v>
                </c:pt>
                <c:pt idx="30">
                  <c:v>0.11201875016247262</c:v>
                </c:pt>
                <c:pt idx="31">
                  <c:v>0.11680908326598675</c:v>
                </c:pt>
                <c:pt idx="32">
                  <c:v>0.12050886312273157</c:v>
                </c:pt>
                <c:pt idx="33">
                  <c:v>0.12303563122220978</c:v>
                </c:pt>
                <c:pt idx="34">
                  <c:v>0.12437244398866987</c:v>
                </c:pt>
                <c:pt idx="35">
                  <c:v>0.12455362577277158</c:v>
                </c:pt>
                <c:pt idx="36">
                  <c:v>0.12365168032018371</c:v>
                </c:pt>
                <c:pt idx="37">
                  <c:v>0.12176580017118872</c:v>
                </c:pt>
                <c:pt idx="38">
                  <c:v>0.11901211157732612</c:v>
                </c:pt>
                <c:pt idx="39">
                  <c:v>0.11551563123518375</c:v>
                </c:pt>
                <c:pt idx="40">
                  <c:v>0.11140382681625234</c:v>
                </c:pt>
                <c:pt idx="41">
                  <c:v>0.10680163023108212</c:v>
                </c:pt>
                <c:pt idx="42">
                  <c:v>0.10182773226094656</c:v>
                </c:pt>
                <c:pt idx="43">
                  <c:v>9.6591980423081258E-2</c:v>
                </c:pt>
                <c:pt idx="44">
                  <c:v>9.1193704078781135E-2</c:v>
                </c:pt>
                <c:pt idx="45">
                  <c:v>8.5720799219800345E-2</c:v>
                </c:pt>
                <c:pt idx="46">
                  <c:v>8.0249418243623055E-2</c:v>
                </c:pt>
                <c:pt idx="47">
                  <c:v>7.4844125840680634E-2</c:v>
                </c:pt>
                <c:pt idx="48">
                  <c:v>6.955839954916386E-2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25-C345-B381-49B6A2460F20}"/>
            </c:ext>
          </c:extLst>
        </c:ser>
        <c:ser>
          <c:idx val="3"/>
          <c:order val="3"/>
          <c:tx>
            <c:strRef>
              <c:f>Büro!$E$7</c:f>
              <c:strCache>
                <c:ptCount val="1"/>
                <c:pt idx="0">
                  <c:v>Normiert f_norm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Büro!$A$8:$A$56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Büro!$E$8:$E$56</c:f>
              <c:numCache>
                <c:formatCode>0.00</c:formatCode>
                <c:ptCount val="49"/>
                <c:pt idx="0">
                  <c:v>0</c:v>
                </c:pt>
                <c:pt idx="1">
                  <c:v>1.629821947783551E-32</c:v>
                </c:pt>
                <c:pt idx="2">
                  <c:v>8.29499836849562E-22</c:v>
                </c:pt>
                <c:pt idx="3">
                  <c:v>1.2840885500350479E-16</c:v>
                </c:pt>
                <c:pt idx="4">
                  <c:v>2.503736569056494E-13</c:v>
                </c:pt>
                <c:pt idx="5">
                  <c:v>1.2265167944756551E-10</c:v>
                </c:pt>
                <c:pt idx="6">
                  <c:v>1.8366351691507491E-8</c:v>
                </c:pt>
                <c:pt idx="7">
                  <c:v>7.7075540601694544E-7</c:v>
                </c:pt>
                <c:pt idx="8">
                  <c:v>1.2468004923669973E-5</c:v>
                </c:pt>
                <c:pt idx="9">
                  <c:v>1.0104318379175218E-4</c:v>
                </c:pt>
                <c:pt idx="10">
                  <c:v>4.9092060220240485E-4</c:v>
                </c:pt>
                <c:pt idx="11">
                  <c:v>1.61822284238952E-3</c:v>
                </c:pt>
                <c:pt idx="12">
                  <c:v>3.950842005635463E-3</c:v>
                </c:pt>
                <c:pt idx="13">
                  <c:v>7.6176204999707569E-3</c:v>
                </c:pt>
                <c:pt idx="14">
                  <c:v>1.2173819177325537E-2</c:v>
                </c:pt>
                <c:pt idx="15">
                  <c:v>1.6745314967155894E-2</c:v>
                </c:pt>
                <c:pt idx="16">
                  <c:v>2.0443211960657948E-2</c:v>
                </c:pt>
                <c:pt idx="17">
                  <c:v>2.2743303118820533E-2</c:v>
                </c:pt>
                <c:pt idx="18">
                  <c:v>2.3622198855968533E-2</c:v>
                </c:pt>
                <c:pt idx="19">
                  <c:v>2.345164544030711E-2</c:v>
                </c:pt>
                <c:pt idx="20">
                  <c:v>2.2779220228375939E-2</c:v>
                </c:pt>
                <c:pt idx="21">
                  <c:v>2.2124895211659369E-2</c:v>
                </c:pt>
                <c:pt idx="22">
                  <c:v>2.1859624326027997E-2</c:v>
                </c:pt>
                <c:pt idx="23">
                  <c:v>2.2170186891424373E-2</c:v>
                </c:pt>
                <c:pt idx="24">
                  <c:v>2.3082422990005892E-2</c:v>
                </c:pt>
                <c:pt idx="25">
                  <c:v>2.4510164770736045E-2</c:v>
                </c:pt>
                <c:pt idx="26">
                  <c:v>2.6306179226818046E-2</c:v>
                </c:pt>
                <c:pt idx="27">
                  <c:v>2.8303050587477646E-2</c:v>
                </c:pt>
                <c:pt idx="28">
                  <c:v>3.0340663290891294E-2</c:v>
                </c:pt>
                <c:pt idx="29">
                  <c:v>3.2281704305933807E-2</c:v>
                </c:pt>
                <c:pt idx="30">
                  <c:v>3.4018319741787768E-2</c:v>
                </c:pt>
                <c:pt idx="31">
                  <c:v>3.5473068013382104E-2</c:v>
                </c:pt>
                <c:pt idx="32">
                  <c:v>3.6596632541270713E-2</c:v>
                </c:pt>
                <c:pt idx="33">
                  <c:v>3.736397198218331E-2</c:v>
                </c:pt>
                <c:pt idx="34">
                  <c:v>3.7769940840596601E-2</c:v>
                </c:pt>
                <c:pt idx="35">
                  <c:v>3.782496287801463E-2</c:v>
                </c:pt>
                <c:pt idx="36">
                  <c:v>3.755105633333989E-2</c:v>
                </c:pt>
                <c:pt idx="37">
                  <c:v>3.6978344409575772E-2</c:v>
                </c:pt>
                <c:pt idx="38">
                  <c:v>3.6142092809558234E-2</c:v>
                </c:pt>
                <c:pt idx="39">
                  <c:v>3.5080267123435538E-2</c:v>
                </c:pt>
                <c:pt idx="40">
                  <c:v>3.38315772636038E-2</c:v>
                </c:pt>
                <c:pt idx="41">
                  <c:v>3.2433963072034881E-2</c:v>
                </c:pt>
                <c:pt idx="42">
                  <c:v>3.0923469058615819E-2</c:v>
                </c:pt>
                <c:pt idx="43">
                  <c:v>2.9333454174046755E-2</c:v>
                </c:pt>
                <c:pt idx="44">
                  <c:v>2.7694083171704933E-2</c:v>
                </c:pt>
                <c:pt idx="45">
                  <c:v>2.603204867177383E-2</c:v>
                </c:pt>
                <c:pt idx="46">
                  <c:v>2.4370476950907688E-2</c:v>
                </c:pt>
                <c:pt idx="47">
                  <c:v>2.2728975282709708E-2</c:v>
                </c:pt>
                <c:pt idx="48">
                  <c:v>2.1123783948298353E-2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25-C345-B381-49B6A2460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311888"/>
        <c:axId val="680313600"/>
      </c:lineChart>
      <c:catAx>
        <c:axId val="68031188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0313600"/>
        <c:crosses val="autoZero"/>
        <c:auto val="1"/>
        <c:lblAlgn val="ctr"/>
        <c:lblOffset val="100"/>
        <c:noMultiLvlLbl val="0"/>
      </c:catAx>
      <c:valAx>
        <c:axId val="6803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031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Logistikzentrum!$B$7</c:f>
              <c:strCache>
                <c:ptCount val="1"/>
                <c:pt idx="0">
                  <c:v>Kurzzeit 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Logistikzentrum!$A$8:$A$56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Logistikzentrum!$B$8:$B$56</c:f>
              <c:numCache>
                <c:formatCode>0.00</c:formatCode>
                <c:ptCount val="49"/>
                <c:pt idx="0">
                  <c:v>0</c:v>
                </c:pt>
                <c:pt idx="1">
                  <c:v>5.1937412573621489E-3</c:v>
                </c:pt>
                <c:pt idx="2">
                  <c:v>0.14276689356861955</c:v>
                </c:pt>
                <c:pt idx="3">
                  <c:v>0.40697020279345536</c:v>
                </c:pt>
                <c:pt idx="4">
                  <c:v>0.5743046579828891</c:v>
                </c:pt>
                <c:pt idx="5">
                  <c:v>0.59725136691195457</c:v>
                </c:pt>
                <c:pt idx="6">
                  <c:v>0.53192304053524353</c:v>
                </c:pt>
                <c:pt idx="7">
                  <c:v>0.43477266018883876</c:v>
                </c:pt>
                <c:pt idx="8">
                  <c:v>0.33808413889853994</c:v>
                </c:pt>
                <c:pt idx="9">
                  <c:v>0.25524651465906173</c:v>
                </c:pt>
                <c:pt idx="10">
                  <c:v>0.18938605649122506</c:v>
                </c:pt>
                <c:pt idx="11">
                  <c:v>0.13915129437199605</c:v>
                </c:pt>
                <c:pt idx="12">
                  <c:v>0.10174255069836374</c:v>
                </c:pt>
                <c:pt idx="13">
                  <c:v>7.4266778369590558E-2</c:v>
                </c:pt>
                <c:pt idx="14">
                  <c:v>5.4237558483465717E-2</c:v>
                </c:pt>
                <c:pt idx="15">
                  <c:v>3.9687277713523803E-2</c:v>
                </c:pt>
                <c:pt idx="16">
                  <c:v>2.9125600161891675E-2</c:v>
                </c:pt>
                <c:pt idx="17">
                  <c:v>2.1451457603574885E-2</c:v>
                </c:pt>
                <c:pt idx="18">
                  <c:v>1.5862988174291041E-2</c:v>
                </c:pt>
                <c:pt idx="19">
                  <c:v>1.1780895606232772E-2</c:v>
                </c:pt>
                <c:pt idx="20">
                  <c:v>8.7883324762605634E-3</c:v>
                </c:pt>
                <c:pt idx="21">
                  <c:v>6.5857336366782889E-3</c:v>
                </c:pt>
                <c:pt idx="22">
                  <c:v>4.9577067666963619E-3</c:v>
                </c:pt>
                <c:pt idx="23">
                  <c:v>3.7491079532244414E-3</c:v>
                </c:pt>
                <c:pt idx="24">
                  <c:v>2.8478956290180078E-3</c:v>
                </c:pt>
                <c:pt idx="25">
                  <c:v>2.1728947777249572E-3</c:v>
                </c:pt>
                <c:pt idx="26">
                  <c:v>1.6650796344720796E-3</c:v>
                </c:pt>
                <c:pt idx="27">
                  <c:v>1.2813622764514369E-3</c:v>
                </c:pt>
                <c:pt idx="28">
                  <c:v>9.9016065516447315E-4</c:v>
                </c:pt>
                <c:pt idx="29">
                  <c:v>7.6822917094951826E-4</c:v>
                </c:pt>
                <c:pt idx="30">
                  <c:v>5.983856207144436E-4</c:v>
                </c:pt>
                <c:pt idx="31">
                  <c:v>4.6787562079307019E-4</c:v>
                </c:pt>
                <c:pt idx="32">
                  <c:v>3.6719148274302139E-4</c:v>
                </c:pt>
                <c:pt idx="33">
                  <c:v>2.8921602174992366E-4</c:v>
                </c:pt>
                <c:pt idx="34">
                  <c:v>2.2859946227754018E-4</c:v>
                </c:pt>
                <c:pt idx="35">
                  <c:v>1.8130415937437071E-4</c:v>
                </c:pt>
                <c:pt idx="36">
                  <c:v>1.442705904822817E-4</c:v>
                </c:pt>
                <c:pt idx="37">
                  <c:v>1.1517132119286904E-4</c:v>
                </c:pt>
                <c:pt idx="38">
                  <c:v>9.22290414358456E-5</c:v>
                </c:pt>
                <c:pt idx="39">
                  <c:v>7.4081448357038248E-5</c:v>
                </c:pt>
                <c:pt idx="40">
                  <c:v>5.9680518163296814E-5</c:v>
                </c:pt>
                <c:pt idx="41">
                  <c:v>4.8217121706095766E-5</c:v>
                </c:pt>
                <c:pt idx="42">
                  <c:v>3.9064390837422251E-5</c:v>
                </c:pt>
                <c:pt idx="43">
                  <c:v>3.173501136387682E-5</c:v>
                </c:pt>
                <c:pt idx="44">
                  <c:v>2.584889905208865E-5</c:v>
                </c:pt>
                <c:pt idx="45">
                  <c:v>2.1108645845974051E-5</c:v>
                </c:pt>
                <c:pt idx="46">
                  <c:v>1.7280802421808948E-5</c:v>
                </c:pt>
                <c:pt idx="47">
                  <c:v>1.4181560392639594E-5</c:v>
                </c:pt>
                <c:pt idx="48">
                  <c:v>1.1665762910470333E-5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6-0547-8387-DF0D7FB9CDA6}"/>
            </c:ext>
          </c:extLst>
        </c:ser>
        <c:ser>
          <c:idx val="1"/>
          <c:order val="1"/>
          <c:tx>
            <c:strRef>
              <c:f>Logistikzentrum!$C$7</c:f>
              <c:strCache>
                <c:ptCount val="1"/>
                <c:pt idx="0">
                  <c:v>Nacht f2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Logistikzentrum!$A$8:$A$56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Logistikzentrum!$C$8:$C$56</c:f>
              <c:numCache>
                <c:formatCode>0.00</c:formatCode>
                <c:ptCount val="49"/>
                <c:pt idx="0">
                  <c:v>0</c:v>
                </c:pt>
                <c:pt idx="1">
                  <c:v>1.2378499685175734E-123</c:v>
                </c:pt>
                <c:pt idx="2">
                  <c:v>1.2562869959490196E-80</c:v>
                </c:pt>
                <c:pt idx="3">
                  <c:v>9.0616996355755523E-60</c:v>
                </c:pt>
                <c:pt idx="4">
                  <c:v>6.7891703710901307E-47</c:v>
                </c:pt>
                <c:pt idx="5">
                  <c:v>5.2245183158613861E-38</c:v>
                </c:pt>
                <c:pt idx="6">
                  <c:v>1.8415132612394362E-31</c:v>
                </c:pt>
                <c:pt idx="7">
                  <c:v>1.9958196382269622E-26</c:v>
                </c:pt>
                <c:pt idx="8">
                  <c:v>1.953671488933655E-22</c:v>
                </c:pt>
                <c:pt idx="9">
                  <c:v>3.3515852130682066E-19</c:v>
                </c:pt>
                <c:pt idx="10">
                  <c:v>1.5546003591184788E-16</c:v>
                </c:pt>
                <c:pt idx="11">
                  <c:v>2.6245693018123777E-14</c:v>
                </c:pt>
                <c:pt idx="12">
                  <c:v>1.9927234299613259E-12</c:v>
                </c:pt>
                <c:pt idx="13">
                  <c:v>7.946747067220062E-11</c:v>
                </c:pt>
                <c:pt idx="14">
                  <c:v>1.8706581248462309E-9</c:v>
                </c:pt>
                <c:pt idx="15">
                  <c:v>2.8433527718593523E-8</c:v>
                </c:pt>
                <c:pt idx="16">
                  <c:v>2.993597162835279E-7</c:v>
                </c:pt>
                <c:pt idx="17">
                  <c:v>2.3084688549906553E-6</c:v>
                </c:pt>
                <c:pt idx="18">
                  <c:v>1.3638285802887161E-5</c:v>
                </c:pt>
                <c:pt idx="19">
                  <c:v>6.4037983896681383E-5</c:v>
                </c:pt>
                <c:pt idx="20">
                  <c:v>2.4631919686140082E-4</c:v>
                </c:pt>
                <c:pt idx="21">
                  <c:v>7.9594137802895231E-4</c:v>
                </c:pt>
                <c:pt idx="22">
                  <c:v>2.2068462327538684E-3</c:v>
                </c:pt>
                <c:pt idx="23">
                  <c:v>5.3449688704078216E-3</c:v>
                </c:pt>
                <c:pt idx="24">
                  <c:v>1.1482228683626586E-2</c:v>
                </c:pt>
                <c:pt idx="25">
                  <c:v>2.2166593797256447E-2</c:v>
                </c:pt>
                <c:pt idx="26">
                  <c:v>3.8892717682434817E-2</c:v>
                </c:pt>
                <c:pt idx="27">
                  <c:v>6.263106820651429E-2</c:v>
                </c:pt>
                <c:pt idx="28">
                  <c:v>9.3362945764385405E-2</c:v>
                </c:pt>
                <c:pt idx="29">
                  <c:v>0.12979967680541932</c:v>
                </c:pt>
                <c:pt idx="30">
                  <c:v>0.16941333299683983</c:v>
                </c:pt>
                <c:pt idx="31">
                  <c:v>0.20879664504557835</c:v>
                </c:pt>
                <c:pt idx="32">
                  <c:v>0.24425427128754648</c:v>
                </c:pt>
                <c:pt idx="33">
                  <c:v>0.27245665477734105</c:v>
                </c:pt>
                <c:pt idx="34">
                  <c:v>0.29098411976857952</c:v>
                </c:pt>
                <c:pt idx="35">
                  <c:v>0.29864259152199119</c:v>
                </c:pt>
                <c:pt idx="36">
                  <c:v>0.29551280029735749</c:v>
                </c:pt>
                <c:pt idx="37">
                  <c:v>0.2827691591598972</c:v>
                </c:pt>
                <c:pt idx="38">
                  <c:v>0.26235105214627247</c:v>
                </c:pt>
                <c:pt idx="39">
                  <c:v>0.23658210942192109</c:v>
                </c:pt>
                <c:pt idx="40">
                  <c:v>0.20781875777736386</c:v>
                </c:pt>
                <c:pt idx="41">
                  <c:v>0.17818038634711206</c:v>
                </c:pt>
                <c:pt idx="42">
                  <c:v>0.14938209612976072</c:v>
                </c:pt>
                <c:pt idx="43">
                  <c:v>0.12266561433296017</c:v>
                </c:pt>
                <c:pt idx="44">
                  <c:v>9.8808223516142574E-2</c:v>
                </c:pt>
                <c:pt idx="45">
                  <c:v>7.8183333807085753E-2</c:v>
                </c:pt>
                <c:pt idx="46">
                  <c:v>6.0847275308338215E-2</c:v>
                </c:pt>
                <c:pt idx="47">
                  <c:v>4.6631997876958368E-2</c:v>
                </c:pt>
                <c:pt idx="48">
                  <c:v>3.5229975866164366E-2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46-0547-8387-DF0D7FB9CDA6}"/>
            </c:ext>
          </c:extLst>
        </c:ser>
        <c:ser>
          <c:idx val="2"/>
          <c:order val="2"/>
          <c:tx>
            <c:strRef>
              <c:f>Logistikzentrum!$D$7</c:f>
              <c:strCache>
                <c:ptCount val="1"/>
                <c:pt idx="0">
                  <c:v>Mischung 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Logistikzentrum!$A$8:$A$56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Logistikzentrum!$D$8:$D$56</c:f>
              <c:numCache>
                <c:formatCode>0.00</c:formatCode>
                <c:ptCount val="49"/>
                <c:pt idx="0">
                  <c:v>0</c:v>
                </c:pt>
                <c:pt idx="1">
                  <c:v>2.0774965029448597E-3</c:v>
                </c:pt>
                <c:pt idx="2">
                  <c:v>5.7106757427447821E-2</c:v>
                </c:pt>
                <c:pt idx="3">
                  <c:v>0.16278808111738216</c:v>
                </c:pt>
                <c:pt idx="4">
                  <c:v>0.22972186319315566</c:v>
                </c:pt>
                <c:pt idx="5">
                  <c:v>0.23890054676478184</c:v>
                </c:pt>
                <c:pt idx="6">
                  <c:v>0.21276921621409742</c:v>
                </c:pt>
                <c:pt idx="7">
                  <c:v>0.17390906407553552</c:v>
                </c:pt>
                <c:pt idx="8">
                  <c:v>0.13523365555941599</c:v>
                </c:pt>
                <c:pt idx="9">
                  <c:v>0.10209860586362469</c:v>
                </c:pt>
                <c:pt idx="10">
                  <c:v>7.5754422596490151E-2</c:v>
                </c:pt>
                <c:pt idx="11">
                  <c:v>5.5660517748819423E-2</c:v>
                </c:pt>
                <c:pt idx="12">
                  <c:v>4.0697020280939675E-2</c:v>
                </c:pt>
                <c:pt idx="13">
                  <c:v>2.9706711411410201E-2</c:v>
                </c:pt>
                <c:pt idx="14">
                  <c:v>2.169502488991279E-2</c:v>
                </c:pt>
                <c:pt idx="15">
                  <c:v>1.5874933832231698E-2</c:v>
                </c:pt>
                <c:pt idx="16">
                  <c:v>1.1650479552529699E-2</c:v>
                </c:pt>
                <c:pt idx="17">
                  <c:v>8.5824298165139475E-3</c:v>
                </c:pt>
                <c:pt idx="18">
                  <c:v>6.3561058983587267E-3</c:v>
                </c:pt>
                <c:pt idx="19">
                  <c:v>4.7635886296104541E-3</c:v>
                </c:pt>
                <c:pt idx="20">
                  <c:v>3.712388347993346E-3</c:v>
                </c:pt>
                <c:pt idx="21">
                  <c:v>3.2710465570944774E-3</c:v>
                </c:pt>
                <c:pt idx="22">
                  <c:v>3.7485596928816395E-3</c:v>
                </c:pt>
                <c:pt idx="23">
                  <c:v>5.7756182776160341E-3</c:v>
                </c:pt>
                <c:pt idx="24">
                  <c:v>1.0324941198508472E-2</c:v>
                </c:pt>
                <c:pt idx="25">
                  <c:v>1.8602432948895142E-2</c:v>
                </c:pt>
                <c:pt idx="26">
                  <c:v>3.1780205999736688E-2</c:v>
                </c:pt>
                <c:pt idx="27">
                  <c:v>5.061739947579201E-2</c:v>
                </c:pt>
                <c:pt idx="28">
                  <c:v>7.5086420873574117E-2</c:v>
                </c:pt>
                <c:pt idx="29">
                  <c:v>0.10414703311271527</c:v>
                </c:pt>
                <c:pt idx="30">
                  <c:v>0.13577002064575766</c:v>
                </c:pt>
                <c:pt idx="31">
                  <c:v>0.16722446628477991</c:v>
                </c:pt>
                <c:pt idx="32">
                  <c:v>0.19555029362313439</c:v>
                </c:pt>
                <c:pt idx="33">
                  <c:v>0.2180810102305728</c:v>
                </c:pt>
                <c:pt idx="34">
                  <c:v>0.23287873559977465</c:v>
                </c:pt>
                <c:pt idx="35">
                  <c:v>0.23898659488134269</c:v>
                </c:pt>
                <c:pt idx="36">
                  <c:v>0.23646794847407893</c:v>
                </c:pt>
                <c:pt idx="37">
                  <c:v>0.22626139585639493</c:v>
                </c:pt>
                <c:pt idx="38">
                  <c:v>0.20991773333359232</c:v>
                </c:pt>
                <c:pt idx="39">
                  <c:v>0.18929532011687972</c:v>
                </c:pt>
                <c:pt idx="40">
                  <c:v>0.16627887842915642</c:v>
                </c:pt>
                <c:pt idx="41">
                  <c:v>0.14256359592637208</c:v>
                </c:pt>
                <c:pt idx="42">
                  <c:v>0.11952130266014356</c:v>
                </c:pt>
                <c:pt idx="43">
                  <c:v>9.8145185470913693E-2</c:v>
                </c:pt>
                <c:pt idx="44">
                  <c:v>7.9056918372534896E-2</c:v>
                </c:pt>
                <c:pt idx="45">
                  <c:v>6.2555110504007E-2</c:v>
                </c:pt>
                <c:pt idx="46">
                  <c:v>4.8684732567639298E-2</c:v>
                </c:pt>
                <c:pt idx="47">
                  <c:v>3.7311270925723755E-2</c:v>
                </c:pt>
                <c:pt idx="48">
                  <c:v>2.8188646998095684E-2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46-0547-8387-DF0D7FB9CDA6}"/>
            </c:ext>
          </c:extLst>
        </c:ser>
        <c:ser>
          <c:idx val="3"/>
          <c:order val="3"/>
          <c:tx>
            <c:strRef>
              <c:f>Logistikzentrum!$E$7</c:f>
              <c:strCache>
                <c:ptCount val="1"/>
                <c:pt idx="0">
                  <c:v>Normiert f_norm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Logistikzentrum!$A$8:$A$56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Logistikzentrum!$E$8:$E$56</c:f>
              <c:numCache>
                <c:formatCode>0.00</c:formatCode>
                <c:ptCount val="49"/>
                <c:pt idx="0">
                  <c:v>0</c:v>
                </c:pt>
                <c:pt idx="1">
                  <c:v>4.3966768099733586E-4</c:v>
                </c:pt>
                <c:pt idx="2">
                  <c:v>1.2085698133215956E-2</c:v>
                </c:pt>
                <c:pt idx="3">
                  <c:v>3.4451397640107254E-2</c:v>
                </c:pt>
                <c:pt idx="4">
                  <c:v>4.8616822565694946E-2</c:v>
                </c:pt>
                <c:pt idx="5">
                  <c:v>5.0559338721474167E-2</c:v>
                </c:pt>
                <c:pt idx="6">
                  <c:v>4.5029075980570196E-2</c:v>
                </c:pt>
                <c:pt idx="7">
                  <c:v>3.6804969249345218E-2</c:v>
                </c:pt>
                <c:pt idx="8">
                  <c:v>2.8619960441964229E-2</c:v>
                </c:pt>
                <c:pt idx="9">
                  <c:v>2.1607476695864412E-2</c:v>
                </c:pt>
                <c:pt idx="10">
                  <c:v>1.6032167207539708E-2</c:v>
                </c:pt>
                <c:pt idx="11">
                  <c:v>1.1779625490124842E-2</c:v>
                </c:pt>
                <c:pt idx="12">
                  <c:v>8.6128494103641859E-3</c:v>
                </c:pt>
                <c:pt idx="13">
                  <c:v>6.286932804843561E-3</c:v>
                </c:pt>
                <c:pt idx="14">
                  <c:v>4.5913922208804837E-3</c:v>
                </c:pt>
                <c:pt idx="15">
                  <c:v>3.3596664707303786E-3</c:v>
                </c:pt>
                <c:pt idx="16">
                  <c:v>2.4656307821008003E-3</c:v>
                </c:pt>
                <c:pt idx="17">
                  <c:v>1.8163289369682422E-3</c:v>
                </c:pt>
                <c:pt idx="18">
                  <c:v>1.3451644017419759E-3</c:v>
                </c:pt>
                <c:pt idx="19">
                  <c:v>1.008134532615237E-3</c:v>
                </c:pt>
                <c:pt idx="20">
                  <c:v>7.8566542644480542E-4</c:v>
                </c:pt>
                <c:pt idx="21">
                  <c:v>6.9226275575118019E-4</c:v>
                </c:pt>
                <c:pt idx="22">
                  <c:v>7.9332049171353038E-4</c:v>
                </c:pt>
                <c:pt idx="23">
                  <c:v>1.222313823799812E-3</c:v>
                </c:pt>
                <c:pt idx="24">
                  <c:v>2.1851025726143235E-3</c:v>
                </c:pt>
                <c:pt idx="25">
                  <c:v>3.9368964250748682E-3</c:v>
                </c:pt>
                <c:pt idx="26">
                  <c:v>6.7257535469809207E-3</c:v>
                </c:pt>
                <c:pt idx="27">
                  <c:v>1.0712333144287328E-2</c:v>
                </c:pt>
                <c:pt idx="28">
                  <c:v>1.5890795721233763E-2</c:v>
                </c:pt>
                <c:pt idx="29">
                  <c:v>2.2040992351377072E-2</c:v>
                </c:pt>
                <c:pt idx="30">
                  <c:v>2.8733473217242306E-2</c:v>
                </c:pt>
                <c:pt idx="31">
                  <c:v>3.5390284986389596E-2</c:v>
                </c:pt>
                <c:pt idx="32">
                  <c:v>4.138497657818372E-2</c:v>
                </c:pt>
                <c:pt idx="33">
                  <c:v>4.6153229091706022E-2</c:v>
                </c:pt>
                <c:pt idx="34">
                  <c:v>4.9284922255997766E-2</c:v>
                </c:pt>
                <c:pt idx="35">
                  <c:v>5.0577549378295429E-2</c:v>
                </c:pt>
                <c:pt idx="36">
                  <c:v>5.0044519636216811E-2</c:v>
                </c:pt>
                <c:pt idx="37">
                  <c:v>4.788447204334078E-2</c:v>
                </c:pt>
                <c:pt idx="38">
                  <c:v>4.4425606918794089E-2</c:v>
                </c:pt>
                <c:pt idx="39">
                  <c:v>4.0061215170019392E-2</c:v>
                </c:pt>
                <c:pt idx="40">
                  <c:v>3.5190166998671252E-2</c:v>
                </c:pt>
                <c:pt idx="41">
                  <c:v>3.0171220758609816E-2</c:v>
                </c:pt>
                <c:pt idx="42">
                  <c:v>2.5294701529401702E-2</c:v>
                </c:pt>
                <c:pt idx="43">
                  <c:v>2.0770800834505835E-2</c:v>
                </c:pt>
                <c:pt idx="44">
                  <c:v>1.6731085668918042E-2</c:v>
                </c:pt>
                <c:pt idx="45">
                  <c:v>1.3238751704680406E-2</c:v>
                </c:pt>
                <c:pt idx="46">
                  <c:v>1.0303316245128509E-2</c:v>
                </c:pt>
                <c:pt idx="47">
                  <c:v>7.8963117096576361E-3</c:v>
                </c:pt>
                <c:pt idx="48">
                  <c:v>5.965659647819966E-3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46-0547-8387-DF0D7FB9C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502368"/>
        <c:axId val="680504080"/>
      </c:lineChart>
      <c:catAx>
        <c:axId val="68050236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0504080"/>
        <c:crosses val="autoZero"/>
        <c:auto val="1"/>
        <c:lblAlgn val="ctr"/>
        <c:lblOffset val="100"/>
        <c:noMultiLvlLbl val="0"/>
      </c:catAx>
      <c:valAx>
        <c:axId val="68050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050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Autobahn!$B$7</c:f>
              <c:strCache>
                <c:ptCount val="1"/>
                <c:pt idx="0">
                  <c:v>Wochentag 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Autobahn!$A$8:$A$56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Autobahn!$B$8:$B$30</c:f>
              <c:numCache>
                <c:formatCode>0.00</c:formatCode>
                <c:ptCount val="23"/>
                <c:pt idx="0">
                  <c:v>0</c:v>
                </c:pt>
                <c:pt idx="1">
                  <c:v>3.3597448917588308</c:v>
                </c:pt>
                <c:pt idx="2">
                  <c:v>1.066504702828865</c:v>
                </c:pt>
                <c:pt idx="3">
                  <c:v>4.5887545261681366E-2</c:v>
                </c:pt>
                <c:pt idx="4">
                  <c:v>1.6262825217873364E-3</c:v>
                </c:pt>
                <c:pt idx="5">
                  <c:v>6.4726007009907754E-5</c:v>
                </c:pt>
                <c:pt idx="6">
                  <c:v>3.0813241079477404E-6</c:v>
                </c:pt>
                <c:pt idx="7">
                  <c:v>1.7602349979901769E-7</c:v>
                </c:pt>
                <c:pt idx="8">
                  <c:v>1.1912583596453829E-8</c:v>
                </c:pt>
                <c:pt idx="9">
                  <c:v>9.3963262394690003E-10</c:v>
                </c:pt>
                <c:pt idx="10">
                  <c:v>8.5020411336387335E-11</c:v>
                </c:pt>
                <c:pt idx="11">
                  <c:v>8.6991221314663756E-12</c:v>
                </c:pt>
                <c:pt idx="12">
                  <c:v>9.9393202700909967E-13</c:v>
                </c:pt>
                <c:pt idx="13">
                  <c:v>1.2543810917906441E-13</c:v>
                </c:pt>
                <c:pt idx="14">
                  <c:v>1.7321687283427921E-14</c:v>
                </c:pt>
                <c:pt idx="15">
                  <c:v>2.5958407673772208E-15</c:v>
                </c:pt>
                <c:pt idx="16">
                  <c:v>4.1917239616367399E-16</c:v>
                </c:pt>
                <c:pt idx="17">
                  <c:v>7.2480780224550333E-17</c:v>
                </c:pt>
                <c:pt idx="18">
                  <c:v>1.3347094223400202E-17</c:v>
                </c:pt>
                <c:pt idx="19">
                  <c:v>2.6048452674431788E-18</c:v>
                </c:pt>
                <c:pt idx="20">
                  <c:v>5.3646863383401012E-19</c:v>
                </c:pt>
                <c:pt idx="21">
                  <c:v>1.1614852789606243E-19</c:v>
                </c:pt>
                <c:pt idx="22">
                  <c:v>2.6345424115218848E-20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C-B442-A06F-72C9CDE359DE}"/>
            </c:ext>
          </c:extLst>
        </c:ser>
        <c:ser>
          <c:idx val="1"/>
          <c:order val="1"/>
          <c:tx>
            <c:strRef>
              <c:f>Autobahn!$C$7</c:f>
              <c:strCache>
                <c:ptCount val="1"/>
                <c:pt idx="0">
                  <c:v>Wochenende f2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Autobahn!$A$8:$A$56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Autobahn!$C$8:$C$30</c:f>
              <c:numCache>
                <c:formatCode>0.00</c:formatCode>
                <c:ptCount val="23"/>
                <c:pt idx="0">
                  <c:v>0</c:v>
                </c:pt>
                <c:pt idx="1">
                  <c:v>1.3962255979312184</c:v>
                </c:pt>
                <c:pt idx="2">
                  <c:v>1.1398350868612361</c:v>
                </c:pt>
                <c:pt idx="3">
                  <c:v>0.64253202915940688</c:v>
                </c:pt>
                <c:pt idx="4">
                  <c:v>0.34905639948280459</c:v>
                </c:pt>
                <c:pt idx="5">
                  <c:v>0.19356724465755196</c:v>
                </c:pt>
                <c:pt idx="6">
                  <c:v>0.11087971990735083</c:v>
                </c:pt>
                <c:pt idx="7">
                  <c:v>6.565619549377584E-2</c:v>
                </c:pt>
                <c:pt idx="8">
                  <c:v>4.0097412228939901E-2</c:v>
                </c:pt>
                <c:pt idx="9">
                  <c:v>2.5182374238872322E-2</c:v>
                </c:pt>
                <c:pt idx="10">
                  <c:v>1.6216795989147447E-2</c:v>
                </c:pt>
                <c:pt idx="11">
                  <c:v>1.0680452575951214E-2</c:v>
                </c:pt>
                <c:pt idx="12">
                  <c:v>7.1775564469083071E-3</c:v>
                </c:pt>
                <c:pt idx="13">
                  <c:v>4.9120451255762936E-3</c:v>
                </c:pt>
                <c:pt idx="14">
                  <c:v>3.4174188694303421E-3</c:v>
                </c:pt>
                <c:pt idx="15">
                  <c:v>2.4134274334329069E-3</c:v>
                </c:pt>
                <c:pt idx="16">
                  <c:v>1.7278428645641566E-3</c:v>
                </c:pt>
                <c:pt idx="17">
                  <c:v>1.2526014126468194E-3</c:v>
                </c:pt>
                <c:pt idx="18">
                  <c:v>9.1859679500965602E-4</c:v>
                </c:pt>
                <c:pt idx="19">
                  <c:v>6.8085720033716915E-4</c:v>
                </c:pt>
                <c:pt idx="20">
                  <c:v>5.0964221664220692E-4</c:v>
                </c:pt>
                <c:pt idx="21">
                  <c:v>3.8498996131491154E-4</c:v>
                </c:pt>
                <c:pt idx="22">
                  <c:v>2.9331649205171118E-4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3C-B442-A06F-72C9CDE359DE}"/>
            </c:ext>
          </c:extLst>
        </c:ser>
        <c:ser>
          <c:idx val="2"/>
          <c:order val="2"/>
          <c:tx>
            <c:strRef>
              <c:f>Autobahn!$D$7</c:f>
              <c:strCache>
                <c:ptCount val="1"/>
                <c:pt idx="0">
                  <c:v>Mischung 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Autobahn!$A$8:$A$56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Autobahn!$D$8:$D$30</c:f>
              <c:numCache>
                <c:formatCode>0.00</c:formatCode>
                <c:ptCount val="23"/>
                <c:pt idx="0">
                  <c:v>0</c:v>
                </c:pt>
                <c:pt idx="1">
                  <c:v>2.7706891036105468</c:v>
                </c:pt>
                <c:pt idx="2">
                  <c:v>1.0885038180385762</c:v>
                </c:pt>
                <c:pt idx="3">
                  <c:v>0.22488089043099901</c:v>
                </c:pt>
                <c:pt idx="4">
                  <c:v>0.10585531761009251</c:v>
                </c:pt>
                <c:pt idx="5">
                  <c:v>5.8115481602172517E-2</c:v>
                </c:pt>
                <c:pt idx="6">
                  <c:v>3.3266072899080817E-2</c:v>
                </c:pt>
                <c:pt idx="7">
                  <c:v>1.9696981864582609E-2</c:v>
                </c:pt>
                <c:pt idx="8">
                  <c:v>1.2029232007490486E-2</c:v>
                </c:pt>
                <c:pt idx="9">
                  <c:v>7.5547129294045333E-3</c:v>
                </c:pt>
                <c:pt idx="10">
                  <c:v>4.8650388562585219E-3</c:v>
                </c:pt>
                <c:pt idx="11">
                  <c:v>3.2041357788747497E-3</c:v>
                </c:pt>
                <c:pt idx="12">
                  <c:v>2.1532669347682446E-3</c:v>
                </c:pt>
                <c:pt idx="13">
                  <c:v>1.4736135377606948E-3</c:v>
                </c:pt>
                <c:pt idx="14">
                  <c:v>1.0252256608412279E-3</c:v>
                </c:pt>
                <c:pt idx="15">
                  <c:v>7.2402823003168916E-4</c:v>
                </c:pt>
                <c:pt idx="16">
                  <c:v>5.183528593695404E-4</c:v>
                </c:pt>
                <c:pt idx="17">
                  <c:v>3.7578042379409653E-4</c:v>
                </c:pt>
                <c:pt idx="18">
                  <c:v>2.7557903850290613E-4</c:v>
                </c:pt>
                <c:pt idx="19">
                  <c:v>2.0425716010115256E-4</c:v>
                </c:pt>
                <c:pt idx="20">
                  <c:v>1.5289266499266246E-4</c:v>
                </c:pt>
                <c:pt idx="21">
                  <c:v>1.1549698839447353E-4</c:v>
                </c:pt>
                <c:pt idx="22">
                  <c:v>8.7994947615513359E-5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3C-B442-A06F-72C9CDE359DE}"/>
            </c:ext>
          </c:extLst>
        </c:ser>
        <c:ser>
          <c:idx val="3"/>
          <c:order val="3"/>
          <c:tx>
            <c:strRef>
              <c:f>Autobahn!$E$7</c:f>
              <c:strCache>
                <c:ptCount val="1"/>
                <c:pt idx="0">
                  <c:v>Normiert f_norm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Autobahn!$A$8:$A$56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Autobahn!$E$8:$E$30</c:f>
              <c:numCache>
                <c:formatCode>0.00</c:formatCode>
                <c:ptCount val="23"/>
                <c:pt idx="0">
                  <c:v>0</c:v>
                </c:pt>
                <c:pt idx="1">
                  <c:v>0.63898327058521653</c:v>
                </c:pt>
                <c:pt idx="2">
                  <c:v>0.25103348072810361</c:v>
                </c:pt>
                <c:pt idx="3">
                  <c:v>5.1862595002977116E-2</c:v>
                </c:pt>
                <c:pt idx="4">
                  <c:v>2.4412618856150581E-2</c:v>
                </c:pt>
                <c:pt idx="5">
                  <c:v>1.3402738133773278E-2</c:v>
                </c:pt>
                <c:pt idx="6">
                  <c:v>7.6719051707682126E-3</c:v>
                </c:pt>
                <c:pt idx="7">
                  <c:v>4.5425673620643836E-3</c:v>
                </c:pt>
                <c:pt idx="8">
                  <c:v>2.7742116575830253E-3</c:v>
                </c:pt>
                <c:pt idx="9">
                  <c:v>1.7422868446960442E-3</c:v>
                </c:pt>
                <c:pt idx="10">
                  <c:v>1.1219874636404508E-3</c:v>
                </c:pt>
                <c:pt idx="11">
                  <c:v>7.3894583001625816E-4</c:v>
                </c:pt>
                <c:pt idx="12">
                  <c:v>4.9659182137333599E-4</c:v>
                </c:pt>
                <c:pt idx="13">
                  <c:v>3.3984845023208904E-4</c:v>
                </c:pt>
                <c:pt idx="14">
                  <c:v>2.3644011339942102E-4</c:v>
                </c:pt>
                <c:pt idx="15">
                  <c:v>1.6697720643532154E-4</c:v>
                </c:pt>
                <c:pt idx="16">
                  <c:v>1.195438365731937E-4</c:v>
                </c:pt>
                <c:pt idx="17">
                  <c:v>8.6663423877095485E-5</c:v>
                </c:pt>
                <c:pt idx="18">
                  <c:v>6.3554729073662196E-5</c:v>
                </c:pt>
                <c:pt idx="19">
                  <c:v>4.7106298585360287E-5</c:v>
                </c:pt>
                <c:pt idx="20">
                  <c:v>3.5260489889750407E-5</c:v>
                </c:pt>
                <c:pt idx="21">
                  <c:v>2.6636205155920322E-5</c:v>
                </c:pt>
                <c:pt idx="22">
                  <c:v>2.0293615530181455E-5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3C-B442-A06F-72C9CDE35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773040"/>
        <c:axId val="2063774752"/>
      </c:lineChart>
      <c:catAx>
        <c:axId val="206377304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63774752"/>
        <c:crosses val="autoZero"/>
        <c:auto val="1"/>
        <c:lblAlgn val="ctr"/>
        <c:lblOffset val="100"/>
        <c:noMultiLvlLbl val="0"/>
      </c:catAx>
      <c:valAx>
        <c:axId val="20637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6377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Industrie!$B$7</c:f>
              <c:strCache>
                <c:ptCount val="1"/>
                <c:pt idx="0">
                  <c:v>Produktion f1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Industrie!$A$8:$A$56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Industrie!$B$8:$B$56</c:f>
              <c:numCache>
                <c:formatCode>0.00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2.4057786952987886E-261</c:v>
                </c:pt>
                <c:pt idx="7">
                  <c:v>5.0201770903157117E-217</c:v>
                </c:pt>
                <c:pt idx="8">
                  <c:v>5.6929288290568057E-182</c:v>
                </c:pt>
                <c:pt idx="9">
                  <c:v>1.2724058542997692E-153</c:v>
                </c:pt>
                <c:pt idx="10">
                  <c:v>2.6413857620855554E-130</c:v>
                </c:pt>
                <c:pt idx="11">
                  <c:v>7.1375761146329973E-111</c:v>
                </c:pt>
                <c:pt idx="12">
                  <c:v>1.6420500869741701E-94</c:v>
                </c:pt>
                <c:pt idx="13">
                  <c:v>1.2746348145299659E-80</c:v>
                </c:pt>
                <c:pt idx="14">
                  <c:v>9.402825382139326E-69</c:v>
                </c:pt>
                <c:pt idx="15">
                  <c:v>1.4602624504100655E-58</c:v>
                </c:pt>
                <c:pt idx="16">
                  <c:v>8.8939210687318914E-50</c:v>
                </c:pt>
                <c:pt idx="17">
                  <c:v>3.4828324304184507E-42</c:v>
                </c:pt>
                <c:pt idx="18">
                  <c:v>1.3058475839445496E-35</c:v>
                </c:pt>
                <c:pt idx="19">
                  <c:v>6.4861225380470117E-30</c:v>
                </c:pt>
                <c:pt idx="20">
                  <c:v>5.5773568853180781E-25</c:v>
                </c:pt>
                <c:pt idx="21">
                  <c:v>1.0373601071358499E-20</c:v>
                </c:pt>
                <c:pt idx="22">
                  <c:v>5.0310443976155832E-17</c:v>
                </c:pt>
                <c:pt idx="23">
                  <c:v>7.4520632036258061E-14</c:v>
                </c:pt>
                <c:pt idx="24">
                  <c:v>3.8572698467760616E-11</c:v>
                </c:pt>
                <c:pt idx="25">
                  <c:v>7.8311549140604182E-9</c:v>
                </c:pt>
                <c:pt idx="26">
                  <c:v>6.8893305219013774E-7</c:v>
                </c:pt>
                <c:pt idx="27">
                  <c:v>2.8632154155346894E-5</c:v>
                </c:pt>
                <c:pt idx="28">
                  <c:v>6.0612277256339179E-4</c:v>
                </c:pt>
                <c:pt idx="29">
                  <c:v>6.9812789799434758E-3</c:v>
                </c:pt>
                <c:pt idx="30">
                  <c:v>4.6362156230221309E-2</c:v>
                </c:pt>
                <c:pt idx="31">
                  <c:v>0.18684700400185422</c:v>
                </c:pt>
                <c:pt idx="32">
                  <c:v>0.47820452788216161</c:v>
                </c:pt>
                <c:pt idx="33">
                  <c:v>0.80924032500088894</c:v>
                </c:pt>
                <c:pt idx="34">
                  <c:v>0.93868771859160627</c:v>
                </c:pt>
                <c:pt idx="35">
                  <c:v>0.77080841997697669</c:v>
                </c:pt>
                <c:pt idx="36">
                  <c:v>0.46123495985167617</c:v>
                </c:pt>
                <c:pt idx="37">
                  <c:v>0.20642457548287002</c:v>
                </c:pt>
                <c:pt idx="38">
                  <c:v>7.0741248983241925E-2</c:v>
                </c:pt>
                <c:pt idx="39">
                  <c:v>1.8962288393626171E-2</c:v>
                </c:pt>
                <c:pt idx="40">
                  <c:v>4.0531057428146505E-3</c:v>
                </c:pt>
                <c:pt idx="41">
                  <c:v>7.0302629459978764E-4</c:v>
                </c:pt>
                <c:pt idx="42">
                  <c:v>1.0054671323913919E-4</c:v>
                </c:pt>
                <c:pt idx="43">
                  <c:v>1.2030821752531337E-5</c:v>
                </c:pt>
                <c:pt idx="44">
                  <c:v>1.2204737521622689E-6</c:v>
                </c:pt>
                <c:pt idx="45">
                  <c:v>1.0625619529767987E-7</c:v>
                </c:pt>
                <c:pt idx="46">
                  <c:v>8.0282569879416655E-9</c:v>
                </c:pt>
                <c:pt idx="47">
                  <c:v>5.3184248096428464E-10</c:v>
                </c:pt>
                <c:pt idx="48">
                  <c:v>3.1184338864066612E-11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8-EC4A-B8B3-7C10BBD66134}"/>
            </c:ext>
          </c:extLst>
        </c:ser>
        <c:ser>
          <c:idx val="1"/>
          <c:order val="1"/>
          <c:tx>
            <c:strRef>
              <c:f>Industrie!$C$7</c:f>
              <c:strCache>
                <c:ptCount val="1"/>
                <c:pt idx="0">
                  <c:v>Büro f2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Industrie!$A$8:$A$56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Industrie!$C$8:$C$56</c:f>
              <c:numCache>
                <c:formatCode>0.00</c:formatCode>
                <c:ptCount val="49"/>
                <c:pt idx="0">
                  <c:v>0</c:v>
                </c:pt>
                <c:pt idx="1">
                  <c:v>7.4648783779373525E-287</c:v>
                </c:pt>
                <c:pt idx="2">
                  <c:v>4.3786747998394363E-188</c:v>
                </c:pt>
                <c:pt idx="3">
                  <c:v>5.5501544465328426E-140</c:v>
                </c:pt>
                <c:pt idx="4">
                  <c:v>3.4982703670012149E-110</c:v>
                </c:pt>
                <c:pt idx="5">
                  <c:v>1.5239575997738645E-89</c:v>
                </c:pt>
                <c:pt idx="6">
                  <c:v>2.7612121426587067E-74</c:v>
                </c:pt>
                <c:pt idx="7">
                  <c:v>1.6420086573935792E-62</c:v>
                </c:pt>
                <c:pt idx="8">
                  <c:v>3.8067536689616609E-53</c:v>
                </c:pt>
                <c:pt idx="9">
                  <c:v>1.579283284992079E-45</c:v>
                </c:pt>
                <c:pt idx="10">
                  <c:v>3.1796847156625633E-39</c:v>
                </c:pt>
                <c:pt idx="11">
                  <c:v>6.1611537266156779E-34</c:v>
                </c:pt>
                <c:pt idx="12">
                  <c:v>1.8710491874906091E-29</c:v>
                </c:pt>
                <c:pt idx="13">
                  <c:v>1.2739641405907467E-25</c:v>
                </c:pt>
                <c:pt idx="14">
                  <c:v>2.5466134278777534E-22</c:v>
                </c:pt>
                <c:pt idx="15">
                  <c:v>1.8388724188417843E-19</c:v>
                </c:pt>
                <c:pt idx="16">
                  <c:v>5.6421795542533699E-17</c:v>
                </c:pt>
                <c:pt idx="17">
                  <c:v>8.3705755226091973E-15</c:v>
                </c:pt>
                <c:pt idx="18">
                  <c:v>6.6639157139038116E-13</c:v>
                </c:pt>
                <c:pt idx="19">
                  <c:v>3.0996440079979993E-11</c:v>
                </c:pt>
                <c:pt idx="20">
                  <c:v>9.0362025799905573E-10</c:v>
                </c:pt>
                <c:pt idx="21">
                  <c:v>1.7504454691425254E-8</c:v>
                </c:pt>
                <c:pt idx="22">
                  <c:v>2.3666914566896813E-7</c:v>
                </c:pt>
                <c:pt idx="23">
                  <c:v>2.3283066917626168E-6</c:v>
                </c:pt>
                <c:pt idx="24">
                  <c:v>1.7268768160470065E-5</c:v>
                </c:pt>
                <c:pt idx="25">
                  <c:v>9.9549840485434497E-5</c:v>
                </c:pt>
                <c:pt idx="26">
                  <c:v>4.5793913934834898E-4</c:v>
                </c:pt>
                <c:pt idx="27">
                  <c:v>1.719838422336845E-3</c:v>
                </c:pt>
                <c:pt idx="28">
                  <c:v>5.3794928051081915E-3</c:v>
                </c:pt>
                <c:pt idx="29">
                  <c:v>1.4261409490596734E-2</c:v>
                </c:pt>
                <c:pt idx="30">
                  <c:v>3.2541496767149895E-2</c:v>
                </c:pt>
                <c:pt idx="31">
                  <c:v>6.4785529396629765E-2</c:v>
                </c:pt>
                <c:pt idx="32">
                  <c:v>0.11390158166631427</c:v>
                </c:pt>
                <c:pt idx="33">
                  <c:v>0.17875749201670163</c:v>
                </c:pt>
                <c:pt idx="34">
                  <c:v>0.25284548729119916</c:v>
                </c:pt>
                <c:pt idx="35">
                  <c:v>0.32511952967206947</c:v>
                </c:pt>
                <c:pt idx="36">
                  <c:v>0.382991976793293</c:v>
                </c:pt>
                <c:pt idx="37">
                  <c:v>0.41622189401348203</c:v>
                </c:pt>
                <c:pt idx="38">
                  <c:v>0.41993924252782372</c:v>
                </c:pt>
                <c:pt idx="39">
                  <c:v>0.3955978872321978</c:v>
                </c:pt>
                <c:pt idx="40">
                  <c:v>0.34976679881739153</c:v>
                </c:pt>
                <c:pt idx="41">
                  <c:v>0.29161406423331926</c:v>
                </c:pt>
                <c:pt idx="42">
                  <c:v>0.23025598027715949</c:v>
                </c:pt>
                <c:pt idx="43">
                  <c:v>0.172858886850974</c:v>
                </c:pt>
                <c:pt idx="44">
                  <c:v>0.12382603459221783</c:v>
                </c:pt>
                <c:pt idx="45">
                  <c:v>8.4918624666328615E-2</c:v>
                </c:pt>
                <c:pt idx="46">
                  <c:v>5.5921539540956584E-2</c:v>
                </c:pt>
                <c:pt idx="47">
                  <c:v>3.5460885327622711E-2</c:v>
                </c:pt>
                <c:pt idx="48">
                  <c:v>2.1708421099222452E-2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8-EC4A-B8B3-7C10BBD66134}"/>
            </c:ext>
          </c:extLst>
        </c:ser>
        <c:ser>
          <c:idx val="2"/>
          <c:order val="2"/>
          <c:tx>
            <c:strRef>
              <c:f>Industrie!$D$7</c:f>
              <c:strCache>
                <c:ptCount val="1"/>
                <c:pt idx="0">
                  <c:v>Mischung 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Industrie!$A$8:$A$56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Industrie!$D$8:$D$56</c:f>
              <c:numCache>
                <c:formatCode>0.00</c:formatCode>
                <c:ptCount val="49"/>
                <c:pt idx="0">
                  <c:v>0</c:v>
                </c:pt>
                <c:pt idx="1">
                  <c:v>3.7324391889686767E-288</c:v>
                </c:pt>
                <c:pt idx="2">
                  <c:v>2.1893373999197185E-189</c:v>
                </c:pt>
                <c:pt idx="3">
                  <c:v>2.7750772232664215E-141</c:v>
                </c:pt>
                <c:pt idx="4">
                  <c:v>1.7491351835006074E-111</c:v>
                </c:pt>
                <c:pt idx="5">
                  <c:v>7.6197879988693235E-91</c:v>
                </c:pt>
                <c:pt idx="6">
                  <c:v>1.3806060713293534E-75</c:v>
                </c:pt>
                <c:pt idx="7">
                  <c:v>8.2100432869678967E-64</c:v>
                </c:pt>
                <c:pt idx="8">
                  <c:v>1.9033768344808306E-54</c:v>
                </c:pt>
                <c:pt idx="9">
                  <c:v>7.896416424960395E-47</c:v>
                </c:pt>
                <c:pt idx="10">
                  <c:v>1.5898423578312817E-40</c:v>
                </c:pt>
                <c:pt idx="11">
                  <c:v>3.0805768633078391E-35</c:v>
                </c:pt>
                <c:pt idx="12">
                  <c:v>9.3552459374530463E-31</c:v>
                </c:pt>
                <c:pt idx="13">
                  <c:v>6.3698207029537343E-27</c:v>
                </c:pt>
                <c:pt idx="14">
                  <c:v>1.2733067139388768E-23</c:v>
                </c:pt>
                <c:pt idx="15">
                  <c:v>9.1943620942089226E-21</c:v>
                </c:pt>
                <c:pt idx="16">
                  <c:v>2.8210897771266851E-18</c:v>
                </c:pt>
                <c:pt idx="17">
                  <c:v>4.1852877613045991E-16</c:v>
                </c:pt>
                <c:pt idx="18">
                  <c:v>3.3319578569519062E-14</c:v>
                </c:pt>
                <c:pt idx="19">
                  <c:v>1.5498220039989997E-12</c:v>
                </c:pt>
                <c:pt idx="20">
                  <c:v>4.5181012899953296E-11</c:v>
                </c:pt>
                <c:pt idx="21">
                  <c:v>8.7522273458059905E-10</c:v>
                </c:pt>
                <c:pt idx="22">
                  <c:v>1.1833457328727807E-8</c:v>
                </c:pt>
                <c:pt idx="23">
                  <c:v>1.1641540165669968E-7</c:v>
                </c:pt>
                <c:pt idx="24">
                  <c:v>8.6347312345212426E-7</c:v>
                </c:pt>
                <c:pt idx="25">
                  <c:v>4.9845400636943794E-6</c:v>
                </c:pt>
                <c:pt idx="26">
                  <c:v>2.3516996714388575E-5</c:v>
                </c:pt>
                <c:pt idx="27">
                  <c:v>1.1176085985665445E-4</c:v>
                </c:pt>
                <c:pt idx="28">
                  <c:v>8.1448513556246229E-4</c:v>
                </c:pt>
                <c:pt idx="29">
                  <c:v>6.9962215564789657E-3</c:v>
                </c:pt>
                <c:pt idx="30">
                  <c:v>4.335301544555667E-2</c:v>
                </c:pt>
                <c:pt idx="31">
                  <c:v>0.1714015800715003</c:v>
                </c:pt>
                <c:pt idx="32">
                  <c:v>0.43607915417726117</c:v>
                </c:pt>
                <c:pt idx="33">
                  <c:v>0.73725416710163516</c:v>
                </c:pt>
                <c:pt idx="34">
                  <c:v>0.85746122109700562</c:v>
                </c:pt>
                <c:pt idx="35">
                  <c:v>0.70998355446288253</c:v>
                </c:pt>
                <c:pt idx="36">
                  <c:v>0.43426106270617321</c:v>
                </c:pt>
                <c:pt idx="37">
                  <c:v>0.20659321263525712</c:v>
                </c:pt>
                <c:pt idx="38">
                  <c:v>8.4664086211308914E-2</c:v>
                </c:pt>
                <c:pt idx="39">
                  <c:v>3.6845953915873447E-2</c:v>
                </c:pt>
                <c:pt idx="40">
                  <c:v>2.1136135109402765E-2</c:v>
                </c:pt>
                <c:pt idx="41">
                  <c:v>1.5213426876805772E-2</c:v>
                </c:pt>
                <c:pt idx="42">
                  <c:v>1.16032910557732E-2</c:v>
                </c:pt>
                <c:pt idx="43">
                  <c:v>8.6537720821259784E-3</c:v>
                </c:pt>
                <c:pt idx="44">
                  <c:v>6.1924001559878379E-3</c:v>
                </c:pt>
                <c:pt idx="45">
                  <c:v>4.2460268638921991E-3</c:v>
                </c:pt>
                <c:pt idx="46">
                  <c:v>2.7960842024791189E-3</c:v>
                </c:pt>
                <c:pt idx="47">
                  <c:v>1.7730447450393684E-3</c:v>
                </c:pt>
                <c:pt idx="48">
                  <c:v>1.0854210830270278E-3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18-EC4A-B8B3-7C10BBD66134}"/>
            </c:ext>
          </c:extLst>
        </c:ser>
        <c:ser>
          <c:idx val="3"/>
          <c:order val="3"/>
          <c:tx>
            <c:strRef>
              <c:f>Industrie!$E$7</c:f>
              <c:strCache>
                <c:ptCount val="1"/>
                <c:pt idx="0">
                  <c:v>Normiert f_norm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Industrie!$A$8:$A$56</c:f>
              <c:numCache>
                <c:formatCode>0.00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cat>
          <c:val>
            <c:numRef>
              <c:f>Industrie!$E$8:$E$56</c:f>
              <c:numCache>
                <c:formatCode>0.00</c:formatCode>
                <c:ptCount val="49"/>
                <c:pt idx="0">
                  <c:v>0</c:v>
                </c:pt>
                <c:pt idx="1">
                  <c:v>9.8259614652424491E-289</c:v>
                </c:pt>
                <c:pt idx="2">
                  <c:v>5.7636156510213367E-190</c:v>
                </c:pt>
                <c:pt idx="3">
                  <c:v>7.3056252167426031E-142</c:v>
                </c:pt>
                <c:pt idx="4">
                  <c:v>4.604746129923078E-112</c:v>
                </c:pt>
                <c:pt idx="5">
                  <c:v>2.0059735593681545E-91</c:v>
                </c:pt>
                <c:pt idx="6">
                  <c:v>3.6345621103904448E-76</c:v>
                </c:pt>
                <c:pt idx="7">
                  <c:v>2.1613632501808996E-64</c:v>
                </c:pt>
                <c:pt idx="8">
                  <c:v>5.0108003057945471E-55</c:v>
                </c:pt>
                <c:pt idx="9">
                  <c:v>2.0787983293736533E-47</c:v>
                </c:pt>
                <c:pt idx="10">
                  <c:v>4.1853943099812068E-41</c:v>
                </c:pt>
                <c:pt idx="11">
                  <c:v>8.1098788264368714E-36</c:v>
                </c:pt>
                <c:pt idx="12">
                  <c:v>2.4628475220966567E-31</c:v>
                </c:pt>
                <c:pt idx="13">
                  <c:v>1.6769091095365256E-27</c:v>
                </c:pt>
                <c:pt idx="14">
                  <c:v>3.35208748787545E-24</c:v>
                </c:pt>
                <c:pt idx="15">
                  <c:v>2.4204934912856772E-21</c:v>
                </c:pt>
                <c:pt idx="16">
                  <c:v>7.42675715172083E-19</c:v>
                </c:pt>
                <c:pt idx="17">
                  <c:v>1.1018123586601038E-16</c:v>
                </c:pt>
                <c:pt idx="18">
                  <c:v>8.7716605277814748E-15</c:v>
                </c:pt>
                <c:pt idx="19">
                  <c:v>4.0800373477717226E-13</c:v>
                </c:pt>
                <c:pt idx="20">
                  <c:v>1.189428331552353E-11</c:v>
                </c:pt>
                <c:pt idx="21">
                  <c:v>2.3040977838059179E-10</c:v>
                </c:pt>
                <c:pt idx="22">
                  <c:v>3.1152576057052561E-9</c:v>
                </c:pt>
                <c:pt idx="23">
                  <c:v>3.0647337912972836E-8</c:v>
                </c:pt>
                <c:pt idx="24">
                  <c:v>2.2731659399539951E-7</c:v>
                </c:pt>
                <c:pt idx="25">
                  <c:v>1.3122222790011849E-6</c:v>
                </c:pt>
                <c:pt idx="26">
                  <c:v>6.1910480464563209E-6</c:v>
                </c:pt>
                <c:pt idx="27">
                  <c:v>2.9421990464559563E-5</c:v>
                </c:pt>
                <c:pt idx="28">
                  <c:v>2.1442009235416077E-4</c:v>
                </c:pt>
                <c:pt idx="29">
                  <c:v>1.8418144257899061E-3</c:v>
                </c:pt>
                <c:pt idx="30">
                  <c:v>1.1413047543523567E-2</c:v>
                </c:pt>
                <c:pt idx="31">
                  <c:v>4.512291388006761E-2</c:v>
                </c:pt>
                <c:pt idx="32">
                  <c:v>0.1148015211448164</c:v>
                </c:pt>
                <c:pt idx="33">
                  <c:v>0.19408838749310642</c:v>
                </c:pt>
                <c:pt idx="34">
                  <c:v>0.22573390991446959</c:v>
                </c:pt>
                <c:pt idx="35">
                  <c:v>0.18690916834564114</c:v>
                </c:pt>
                <c:pt idx="36">
                  <c:v>0.1143228932066039</c:v>
                </c:pt>
                <c:pt idx="37">
                  <c:v>5.4387408436132774E-2</c:v>
                </c:pt>
                <c:pt idx="38">
                  <c:v>2.2288535900625156E-2</c:v>
                </c:pt>
                <c:pt idx="39">
                  <c:v>9.7000086269994935E-3</c:v>
                </c:pt>
                <c:pt idx="40">
                  <c:v>5.564266116457081E-3</c:v>
                </c:pt>
                <c:pt idx="41">
                  <c:v>4.005063141754292E-3</c:v>
                </c:pt>
                <c:pt idx="42">
                  <c:v>3.0546643900050598E-3</c:v>
                </c:pt>
                <c:pt idx="43">
                  <c:v>2.2781786039347681E-3</c:v>
                </c:pt>
                <c:pt idx="44">
                  <c:v>1.6302016517758852E-3</c:v>
                </c:pt>
                <c:pt idx="45">
                  <c:v>1.1178024405138975E-3</c:v>
                </c:pt>
                <c:pt idx="46">
                  <c:v>7.3609278640985665E-4</c:v>
                </c:pt>
                <c:pt idx="47">
                  <c:v>4.6676900704499769E-4</c:v>
                </c:pt>
                <c:pt idx="48">
                  <c:v>2.8574626927363998E-4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18-EC4A-B8B3-7C10BBD66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217568"/>
        <c:axId val="681219280"/>
      </c:lineChart>
      <c:catAx>
        <c:axId val="68121756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1219280"/>
        <c:crosses val="autoZero"/>
        <c:auto val="1"/>
        <c:lblAlgn val="ctr"/>
        <c:lblOffset val="100"/>
        <c:noMultiLvlLbl val="0"/>
      </c:catAx>
      <c:valAx>
        <c:axId val="6812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121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19537</xdr:colOff>
      <xdr:row>6</xdr:row>
      <xdr:rowOff>5862</xdr:rowOff>
    </xdr:from>
    <xdr:to>
      <xdr:col>21</xdr:col>
      <xdr:colOff>449383</xdr:colOff>
      <xdr:row>55</xdr:row>
      <xdr:rowOff>136768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72ADFC9-9290-4B9F-3F54-6145D02CB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716491</xdr:colOff>
      <xdr:row>6</xdr:row>
      <xdr:rowOff>43390</xdr:rowOff>
    </xdr:from>
    <xdr:to>
      <xdr:col>20</xdr:col>
      <xdr:colOff>4035425</xdr:colOff>
      <xdr:row>55</xdr:row>
      <xdr:rowOff>200024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EB55821-75F1-68D5-AC91-B0F00CD28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931333</xdr:colOff>
      <xdr:row>6</xdr:row>
      <xdr:rowOff>16933</xdr:rowOff>
    </xdr:from>
    <xdr:to>
      <xdr:col>20</xdr:col>
      <xdr:colOff>3708399</xdr:colOff>
      <xdr:row>55</xdr:row>
      <xdr:rowOff>186267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3EECE57-598E-FAD4-3507-1F14998B2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6</xdr:row>
      <xdr:rowOff>19050</xdr:rowOff>
    </xdr:from>
    <xdr:to>
      <xdr:col>20</xdr:col>
      <xdr:colOff>1574800</xdr:colOff>
      <xdr:row>55</xdr:row>
      <xdr:rowOff>139700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753A130-5EFB-1C83-AD88-43A0D6DA4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42332</xdr:colOff>
      <xdr:row>6</xdr:row>
      <xdr:rowOff>40217</xdr:rowOff>
    </xdr:from>
    <xdr:to>
      <xdr:col>20</xdr:col>
      <xdr:colOff>1083732</xdr:colOff>
      <xdr:row>56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4D861CD-7D72-5F7D-9BAA-2E6B1AD59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C796-58DC-FB42-888D-2291A12CCFCD}">
  <dimension ref="A1:V57"/>
  <sheetViews>
    <sheetView tabSelected="1" zoomScaleNormal="92" workbookViewId="0">
      <selection activeCell="C18" sqref="C18"/>
    </sheetView>
  </sheetViews>
  <sheetFormatPr baseColWidth="10" defaultColWidth="8.83203125" defaultRowHeight="15"/>
  <cols>
    <col min="1" max="1" width="13.33203125" customWidth="1"/>
    <col min="2" max="3" width="16" customWidth="1"/>
    <col min="4" max="4" width="11.83203125" bestFit="1" customWidth="1"/>
    <col min="5" max="5" width="13.1640625" customWidth="1"/>
    <col min="6" max="6" width="12.83203125" customWidth="1"/>
    <col min="7" max="7" width="14" customWidth="1"/>
    <col min="9" max="9" width="13.1640625" customWidth="1"/>
    <col min="20" max="20" width="5.33203125" bestFit="1" customWidth="1"/>
    <col min="21" max="21" width="54.1640625" bestFit="1" customWidth="1"/>
  </cols>
  <sheetData>
    <row r="1" spans="1:22" ht="19" thickBot="1">
      <c r="A1" s="18" t="s">
        <v>0</v>
      </c>
      <c r="B1" s="19"/>
      <c r="C1" s="19"/>
      <c r="D1" s="19"/>
      <c r="E1" s="19"/>
      <c r="J1" t="s">
        <v>17</v>
      </c>
      <c r="K1" t="s">
        <v>25</v>
      </c>
      <c r="T1" s="20" t="s">
        <v>18</v>
      </c>
      <c r="U1" s="21"/>
      <c r="V1" s="6"/>
    </row>
    <row r="2" spans="1:22" ht="18">
      <c r="A2" t="s">
        <v>1</v>
      </c>
      <c r="B2" s="4">
        <f>LN(J2)</f>
        <v>-1.2039728043259361</v>
      </c>
      <c r="C2" t="s">
        <v>26</v>
      </c>
      <c r="D2" s="5">
        <f>LN(J3)</f>
        <v>-0.916290731874155</v>
      </c>
      <c r="E2" t="s">
        <v>3</v>
      </c>
      <c r="F2" s="4">
        <v>0.25</v>
      </c>
      <c r="I2" t="s">
        <v>15</v>
      </c>
      <c r="J2">
        <v>0.3</v>
      </c>
      <c r="K2" s="17">
        <f>J2*60</f>
        <v>18</v>
      </c>
      <c r="L2" s="3"/>
      <c r="T2" s="7">
        <v>0.2</v>
      </c>
      <c r="U2" s="8" t="s">
        <v>19</v>
      </c>
      <c r="V2" s="6"/>
    </row>
    <row r="3" spans="1:22" ht="18">
      <c r="A3" t="s">
        <v>4</v>
      </c>
      <c r="B3" s="4">
        <v>0.6</v>
      </c>
      <c r="C3" t="s">
        <v>27</v>
      </c>
      <c r="D3" s="4">
        <v>0.7</v>
      </c>
      <c r="F3" s="4"/>
      <c r="I3" t="s">
        <v>29</v>
      </c>
      <c r="J3">
        <v>0.4</v>
      </c>
      <c r="K3" s="17">
        <f>J3*60</f>
        <v>24</v>
      </c>
      <c r="L3" s="3"/>
      <c r="T3" s="7">
        <v>0.5</v>
      </c>
      <c r="U3" s="8" t="s">
        <v>20</v>
      </c>
      <c r="V3" s="6"/>
    </row>
    <row r="4" spans="1:22" ht="19" thickBot="1">
      <c r="A4" t="s">
        <v>6</v>
      </c>
      <c r="B4" s="4">
        <v>0.6</v>
      </c>
      <c r="C4" t="s">
        <v>7</v>
      </c>
      <c r="D4" s="4">
        <v>0.4</v>
      </c>
      <c r="E4" t="s">
        <v>8</v>
      </c>
      <c r="F4" s="4">
        <v>12</v>
      </c>
      <c r="T4" s="9">
        <v>1</v>
      </c>
      <c r="U4" s="10" t="s">
        <v>21</v>
      </c>
      <c r="V4" s="6"/>
    </row>
    <row r="5" spans="1:22">
      <c r="A5" t="s">
        <v>9</v>
      </c>
      <c r="B5" s="4">
        <f>B4+D4</f>
        <v>1</v>
      </c>
      <c r="F5" s="4"/>
    </row>
    <row r="6" spans="1:22">
      <c r="A6" s="1"/>
    </row>
    <row r="7" spans="1:22" ht="16" thickBot="1">
      <c r="A7" s="2" t="s">
        <v>10</v>
      </c>
      <c r="B7" s="2" t="s">
        <v>24</v>
      </c>
      <c r="C7" s="2" t="s">
        <v>23</v>
      </c>
      <c r="D7" s="2" t="s">
        <v>13</v>
      </c>
      <c r="E7" s="2" t="s">
        <v>14</v>
      </c>
    </row>
    <row r="8" spans="1:22">
      <c r="A8" s="13">
        <v>0</v>
      </c>
      <c r="B8" s="4">
        <f>IF(A8&gt;0,_xlfn.LOGNORM.DIST(A8,$B$2,$B$3,FALSE),0)</f>
        <v>0</v>
      </c>
      <c r="C8" s="4">
        <f>IF(A8&gt;0,_xlfn.LOGNORM.DIST(A8,$D$2,$D$3,FALSE),0)</f>
        <v>0</v>
      </c>
      <c r="D8" s="4">
        <f t="shared" ref="D8:D39" si="0">$B$4*B8 + $D$4*C8</f>
        <v>0</v>
      </c>
      <c r="E8" s="4">
        <f>IF($D57&gt;0, D8/$D57, 0)</f>
        <v>0</v>
      </c>
    </row>
    <row r="9" spans="1:22">
      <c r="A9" s="14">
        <f t="shared" ref="A9:A56" si="1">A8+$F$2</f>
        <v>0.25</v>
      </c>
      <c r="B9" s="4">
        <f t="shared" ref="B9:B56" si="2">IF(A9&gt;0,_xlfn.LOGNORM.DIST(A9,$B$2,$B$3,FALSE),0)</f>
        <v>2.5396167598368891</v>
      </c>
      <c r="C9" s="4">
        <f t="shared" ref="C9:C56" si="3">IF(A9&gt;0,_xlfn.LOGNORM.DIST(A9,$D$2,$D$3,FALSE),0)</f>
        <v>1.8196044229948645</v>
      </c>
      <c r="D9" s="4">
        <f t="shared" si="0"/>
        <v>2.2516118251000794</v>
      </c>
      <c r="E9" s="4">
        <f>IF($D57&gt;0, D9/$D57, 0)</f>
        <v>0.57722513749635262</v>
      </c>
    </row>
    <row r="10" spans="1:22">
      <c r="A10" s="14">
        <f t="shared" si="1"/>
        <v>0.5</v>
      </c>
      <c r="B10" s="4">
        <f t="shared" si="2"/>
        <v>0.92553224283341162</v>
      </c>
      <c r="C10" s="4">
        <f t="shared" si="3"/>
        <v>1.0833676263007752</v>
      </c>
      <c r="D10" s="4">
        <f t="shared" si="0"/>
        <v>0.98866639622035701</v>
      </c>
      <c r="E10" s="4">
        <f>IF($D57&gt;0, D10/$D57, 0)</f>
        <v>0.25345536479004471</v>
      </c>
    </row>
    <row r="11" spans="1:22">
      <c r="A11" s="14">
        <f t="shared" si="1"/>
        <v>0.75</v>
      </c>
      <c r="B11" s="4">
        <f t="shared" si="2"/>
        <v>0.27622866468551793</v>
      </c>
      <c r="C11" s="4">
        <f t="shared" si="3"/>
        <v>0.50773550538087786</v>
      </c>
      <c r="D11" s="4">
        <f t="shared" si="0"/>
        <v>0.3688314009636619</v>
      </c>
      <c r="E11" s="4">
        <f>IF($D57&gt;0, D11/$D57, 0)</f>
        <v>9.4553934102188875E-2</v>
      </c>
    </row>
    <row r="12" spans="1:22">
      <c r="A12" s="14">
        <f t="shared" si="1"/>
        <v>1</v>
      </c>
      <c r="B12" s="4">
        <f t="shared" si="2"/>
        <v>8.8799211227165262E-2</v>
      </c>
      <c r="C12" s="4">
        <f t="shared" si="3"/>
        <v>0.24195905582194005</v>
      </c>
      <c r="D12" s="4">
        <f t="shared" si="0"/>
        <v>0.15006314906507517</v>
      </c>
      <c r="E12" s="4">
        <f>IF($D57&gt;0, D12/$D57, 0)</f>
        <v>3.8470317523924706E-2</v>
      </c>
    </row>
    <row r="13" spans="1:22">
      <c r="A13" s="14">
        <f t="shared" si="1"/>
        <v>1.25</v>
      </c>
      <c r="B13" s="4">
        <f t="shared" si="2"/>
        <v>3.1431257400051524E-2</v>
      </c>
      <c r="C13" s="4">
        <f t="shared" si="3"/>
        <v>0.12121205353942863</v>
      </c>
      <c r="D13" s="4">
        <f t="shared" si="0"/>
        <v>6.7343575855802362E-2</v>
      </c>
      <c r="E13" s="4">
        <f>IF($D57&gt;0, D13/$D57, 0)</f>
        <v>1.7264256831274093E-2</v>
      </c>
    </row>
    <row r="14" spans="1:22">
      <c r="A14" s="14">
        <f t="shared" si="1"/>
        <v>1.5</v>
      </c>
      <c r="B14" s="4">
        <f t="shared" si="2"/>
        <v>1.2140557586119757E-2</v>
      </c>
      <c r="C14" s="4">
        <f t="shared" si="3"/>
        <v>6.3900950375641419E-2</v>
      </c>
      <c r="D14" s="4">
        <f t="shared" si="0"/>
        <v>3.2844714701928422E-2</v>
      </c>
      <c r="E14" s="4">
        <f>IF($D57&gt;0, D14/$D57, 0)</f>
        <v>8.4200992144844635E-3</v>
      </c>
    </row>
    <row r="15" spans="1:22">
      <c r="A15" s="14">
        <f t="shared" si="1"/>
        <v>1.75</v>
      </c>
      <c r="B15" s="4">
        <f t="shared" si="2"/>
        <v>5.0543145479197008E-3</v>
      </c>
      <c r="C15" s="4">
        <f t="shared" si="3"/>
        <v>3.5273103866541859E-2</v>
      </c>
      <c r="D15" s="4">
        <f t="shared" si="0"/>
        <v>1.7141830275368565E-2</v>
      </c>
      <c r="E15" s="4">
        <f>IF($D57&gt;0, D15/$D57, 0)</f>
        <v>4.3944943028530071E-3</v>
      </c>
    </row>
    <row r="16" spans="1:22">
      <c r="A16" s="14">
        <f t="shared" si="1"/>
        <v>2</v>
      </c>
      <c r="B16" s="4">
        <f t="shared" si="2"/>
        <v>2.2429564956528069E-3</v>
      </c>
      <c r="C16" s="4">
        <f t="shared" si="3"/>
        <v>2.0270994986434324E-2</v>
      </c>
      <c r="D16" s="4">
        <f t="shared" si="0"/>
        <v>9.4541718919654155E-3</v>
      </c>
      <c r="E16" s="4">
        <f>IF($D57&gt;0, D16/$D57, 0)</f>
        <v>2.4236796100550453E-3</v>
      </c>
    </row>
    <row r="17" spans="1:5">
      <c r="A17" s="14">
        <f t="shared" si="1"/>
        <v>2.25</v>
      </c>
      <c r="B17" s="4">
        <f t="shared" si="2"/>
        <v>1.0513274112723073E-3</v>
      </c>
      <c r="C17" s="4">
        <f t="shared" si="3"/>
        <v>1.2065929723007573E-2</v>
      </c>
      <c r="D17" s="4">
        <f t="shared" si="0"/>
        <v>5.4571683359664145E-3</v>
      </c>
      <c r="E17" s="4">
        <f>IF($D57&gt;0, D17/$D57, 0)</f>
        <v>1.3990043523283344E-3</v>
      </c>
    </row>
    <row r="18" spans="1:5">
      <c r="A18" s="14">
        <f t="shared" si="1"/>
        <v>2.5</v>
      </c>
      <c r="B18" s="4">
        <f t="shared" si="2"/>
        <v>5.166329507838522E-4</v>
      </c>
      <c r="C18" s="4">
        <f t="shared" si="3"/>
        <v>7.4061318322787058E-3</v>
      </c>
      <c r="D18" s="4">
        <f t="shared" si="0"/>
        <v>3.2724325033817937E-3</v>
      </c>
      <c r="E18" s="4">
        <f>IF($D57&gt;0, D18/$D57, 0)</f>
        <v>8.3892360159732707E-4</v>
      </c>
    </row>
    <row r="19" spans="1:5">
      <c r="A19" s="14">
        <f t="shared" si="1"/>
        <v>2.75</v>
      </c>
      <c r="B19" s="4">
        <f t="shared" si="2"/>
        <v>2.6455917326428328E-4</v>
      </c>
      <c r="C19" s="4">
        <f t="shared" si="3"/>
        <v>4.6705284210928058E-3</v>
      </c>
      <c r="D19" s="4">
        <f t="shared" si="0"/>
        <v>2.0269468723956925E-3</v>
      </c>
      <c r="E19" s="4">
        <f>IF($D57&gt;0, D19/$D57, 0)</f>
        <v>5.1962983764503956E-4</v>
      </c>
    </row>
    <row r="20" spans="1:5">
      <c r="A20" s="14">
        <f t="shared" si="1"/>
        <v>3</v>
      </c>
      <c r="B20" s="4">
        <f t="shared" si="2"/>
        <v>1.4047618662469787E-4</v>
      </c>
      <c r="C20" s="4">
        <f t="shared" si="3"/>
        <v>3.0167842917911331E-3</v>
      </c>
      <c r="D20" s="4">
        <f t="shared" si="0"/>
        <v>1.2909994286912721E-3</v>
      </c>
      <c r="E20" s="4">
        <f>IF($D57&gt;0, D20/$D57, 0)</f>
        <v>3.3096172014503866E-4</v>
      </c>
    </row>
    <row r="21" spans="1:5">
      <c r="A21" s="14">
        <f t="shared" si="1"/>
        <v>3.25</v>
      </c>
      <c r="B21" s="4">
        <f t="shared" si="2"/>
        <v>7.7025624871145823E-5</v>
      </c>
      <c r="C21" s="4">
        <f t="shared" si="3"/>
        <v>1.9906710464403414E-3</v>
      </c>
      <c r="D21" s="4">
        <f t="shared" si="0"/>
        <v>8.4248379349882404E-4</v>
      </c>
      <c r="E21" s="4">
        <f>IF($D57&gt;0, D21/$D57, 0)</f>
        <v>2.1597986745303772E-4</v>
      </c>
    </row>
    <row r="22" spans="1:5">
      <c r="A22" s="14">
        <f t="shared" si="1"/>
        <v>3.5</v>
      </c>
      <c r="B22" s="4">
        <f t="shared" si="2"/>
        <v>4.3463670731410693E-5</v>
      </c>
      <c r="C22" s="4">
        <f t="shared" si="3"/>
        <v>1.3389939695057677E-3</v>
      </c>
      <c r="D22" s="4">
        <f t="shared" si="0"/>
        <v>5.6167579024115353E-4</v>
      </c>
      <c r="E22" s="4">
        <f>IF($D57&gt;0, D22/$D57, 0)</f>
        <v>1.4399168703775652E-4</v>
      </c>
    </row>
    <row r="23" spans="1:5">
      <c r="A23" s="14">
        <f t="shared" si="1"/>
        <v>3.75</v>
      </c>
      <c r="B23" s="4">
        <f t="shared" si="2"/>
        <v>2.5166046344269716E-5</v>
      </c>
      <c r="C23" s="4">
        <f t="shared" si="3"/>
        <v>9.1636723159505603E-4</v>
      </c>
      <c r="D23" s="4">
        <f t="shared" si="0"/>
        <v>3.8164652044458426E-4</v>
      </c>
      <c r="E23" s="4">
        <f>IF($D57&gt;0, D23/$D57, 0)</f>
        <v>9.7839229117051743E-5</v>
      </c>
    </row>
    <row r="24" spans="1:5">
      <c r="A24" s="14">
        <f t="shared" si="1"/>
        <v>4</v>
      </c>
      <c r="B24" s="4">
        <f t="shared" si="2"/>
        <v>1.4915120928188726E-5</v>
      </c>
      <c r="C24" s="4">
        <f t="shared" si="3"/>
        <v>6.3705277080275868E-4</v>
      </c>
      <c r="D24" s="4">
        <f t="shared" si="0"/>
        <v>2.637701808780167E-4</v>
      </c>
      <c r="E24" s="4">
        <f>IF($D57&gt;0, D24/$D57, 0)</f>
        <v>6.7620349665726054E-5</v>
      </c>
    </row>
    <row r="25" spans="1:5">
      <c r="A25" s="14">
        <f t="shared" si="1"/>
        <v>4.25</v>
      </c>
      <c r="B25" s="4">
        <f t="shared" si="2"/>
        <v>9.0289925452533542E-6</v>
      </c>
      <c r="C25" s="4">
        <f t="shared" si="3"/>
        <v>4.4925611292295764E-4</v>
      </c>
      <c r="D25" s="4">
        <f t="shared" si="0"/>
        <v>1.8511984069633508E-4</v>
      </c>
      <c r="E25" s="4">
        <f>IF($D57&gt;0, D25/$D57, 0)</f>
        <v>4.7457481040052453E-5</v>
      </c>
    </row>
    <row r="26" spans="1:5">
      <c r="A26" s="14">
        <f t="shared" si="1"/>
        <v>4.5</v>
      </c>
      <c r="B26" s="4">
        <f t="shared" si="2"/>
        <v>5.5725554423917686E-6</v>
      </c>
      <c r="C26" s="4">
        <f t="shared" si="3"/>
        <v>3.2099738013624589E-4</v>
      </c>
      <c r="D26" s="4">
        <f t="shared" si="0"/>
        <v>1.3174248531993342E-4</v>
      </c>
      <c r="E26" s="4">
        <f>IF($D57&gt;0, D26/$D57, 0)</f>
        <v>3.3773616462300176E-5</v>
      </c>
    </row>
    <row r="27" spans="1:5">
      <c r="A27" s="14">
        <f t="shared" si="1"/>
        <v>4.75</v>
      </c>
      <c r="B27" s="4">
        <f t="shared" si="2"/>
        <v>3.5008760315469209E-6</v>
      </c>
      <c r="C27" s="4">
        <f t="shared" si="3"/>
        <v>2.3213435705783555E-4</v>
      </c>
      <c r="D27" s="4">
        <f t="shared" si="0"/>
        <v>9.4954268442062374E-5</v>
      </c>
      <c r="E27" s="4">
        <f>IF($D57&gt;0, D27/$D57, 0)</f>
        <v>2.4342557649740023E-5</v>
      </c>
    </row>
    <row r="28" spans="1:5">
      <c r="A28" s="14">
        <f t="shared" si="1"/>
        <v>5</v>
      </c>
      <c r="B28" s="4">
        <f t="shared" si="2"/>
        <v>2.2356130470866123E-6</v>
      </c>
      <c r="C28" s="4">
        <f t="shared" si="3"/>
        <v>1.697478277941149E-4</v>
      </c>
      <c r="D28" s="4">
        <f t="shared" si="0"/>
        <v>6.9240498945897938E-5</v>
      </c>
      <c r="E28" s="4">
        <f>IF($D57&gt;0, D28/$D57, 0)</f>
        <v>1.7750553660636212E-5</v>
      </c>
    </row>
    <row r="29" spans="1:5">
      <c r="A29" s="14">
        <f t="shared" si="1"/>
        <v>5.25</v>
      </c>
      <c r="B29" s="4">
        <f t="shared" si="2"/>
        <v>1.4493606272847806E-6</v>
      </c>
      <c r="C29" s="4">
        <f t="shared" si="3"/>
        <v>1.2541189608662552E-4</v>
      </c>
      <c r="D29" s="4">
        <f t="shared" si="0"/>
        <v>5.103437481102108E-5</v>
      </c>
      <c r="E29" s="4">
        <f>IF($D57&gt;0, D29/$D57, 0)</f>
        <v>1.3083216071679087E-5</v>
      </c>
    </row>
    <row r="30" spans="1:5">
      <c r="A30" s="14">
        <f t="shared" si="1"/>
        <v>5.5</v>
      </c>
      <c r="B30" s="4">
        <f t="shared" si="2"/>
        <v>9.5288286318558556E-7</v>
      </c>
      <c r="C30" s="4">
        <f t="shared" si="3"/>
        <v>9.3546014641022405E-5</v>
      </c>
      <c r="D30" s="4">
        <f t="shared" si="0"/>
        <v>3.7990135574320319E-5</v>
      </c>
      <c r="E30" s="4">
        <f>IF($D57&gt;0, D30/$D57, 0)</f>
        <v>9.7391837198303182E-6</v>
      </c>
    </row>
    <row r="31" spans="1:5">
      <c r="A31" s="14">
        <f t="shared" si="1"/>
        <v>5.75</v>
      </c>
      <c r="B31" s="4">
        <f t="shared" si="2"/>
        <v>6.3468915406959856E-7</v>
      </c>
      <c r="C31" s="4">
        <f t="shared" si="3"/>
        <v>7.0401200115630059E-5</v>
      </c>
      <c r="D31" s="4">
        <f t="shared" si="0"/>
        <v>2.8541293538693786E-5</v>
      </c>
      <c r="E31" s="4">
        <f>IF($D57&gt;0, D31/$D57, 0)</f>
        <v>7.3168704763149008E-6</v>
      </c>
    </row>
    <row r="32" spans="1:5">
      <c r="A32" s="14">
        <f t="shared" si="1"/>
        <v>6</v>
      </c>
      <c r="B32" s="4">
        <f t="shared" si="2"/>
        <v>4.2791841096235255E-7</v>
      </c>
      <c r="C32" s="4">
        <f t="shared" si="3"/>
        <v>5.3425470611452075E-5</v>
      </c>
      <c r="D32" s="4">
        <f t="shared" si="0"/>
        <v>2.1626939291158243E-5</v>
      </c>
      <c r="E32" s="4">
        <f>IF($D57&gt;0, D32/$D57, 0)</f>
        <v>5.5443006946409233E-6</v>
      </c>
    </row>
    <row r="33" spans="1:5">
      <c r="A33" s="14">
        <f t="shared" si="1"/>
        <v>6.25</v>
      </c>
      <c r="B33" s="4">
        <f t="shared" si="2"/>
        <v>2.9180819197971867E-7</v>
      </c>
      <c r="C33" s="4">
        <f t="shared" si="3"/>
        <v>4.0860220535484892E-5</v>
      </c>
      <c r="D33" s="4">
        <f t="shared" si="0"/>
        <v>1.6519173129381788E-5</v>
      </c>
      <c r="E33" s="4">
        <f>IF($D57&gt;0, D33/$D57, 0)</f>
        <v>4.2348693831849254E-6</v>
      </c>
    </row>
    <row r="34" spans="1:5">
      <c r="A34" s="14">
        <f t="shared" si="1"/>
        <v>6.5</v>
      </c>
      <c r="B34" s="4">
        <f t="shared" si="2"/>
        <v>2.0112322604794436E-7</v>
      </c>
      <c r="C34" s="4">
        <f t="shared" si="3"/>
        <v>3.1479629081600215E-5</v>
      </c>
      <c r="D34" s="4">
        <f t="shared" si="0"/>
        <v>1.2712525568268854E-5</v>
      </c>
      <c r="E34" s="4">
        <f>IF($D57&gt;0, D34/$D57, 0)</f>
        <v>3.2589939514746195E-6</v>
      </c>
    </row>
    <row r="35" spans="1:5">
      <c r="A35" s="14">
        <f t="shared" si="1"/>
        <v>6.75</v>
      </c>
      <c r="B35" s="4">
        <f t="shared" si="2"/>
        <v>1.4001543571917286E-7</v>
      </c>
      <c r="C35" s="4">
        <f t="shared" si="3"/>
        <v>2.4420061629658045E-5</v>
      </c>
      <c r="D35" s="4">
        <f t="shared" si="0"/>
        <v>9.8520339132947221E-6</v>
      </c>
      <c r="E35" s="4">
        <f>IF($D57&gt;0, D35/$D57, 0)</f>
        <v>2.5256758588783424E-6</v>
      </c>
    </row>
    <row r="36" spans="1:5">
      <c r="A36" s="14">
        <f t="shared" si="1"/>
        <v>7</v>
      </c>
      <c r="B36" s="4">
        <f t="shared" si="2"/>
        <v>9.8397649574885181E-8</v>
      </c>
      <c r="C36" s="4">
        <f t="shared" si="3"/>
        <v>1.9066927822126265E-5</v>
      </c>
      <c r="D36" s="4">
        <f t="shared" si="0"/>
        <v>7.6858097185954371E-6</v>
      </c>
      <c r="E36" s="4">
        <f>IF($D57&gt;0, D36/$D57, 0)</f>
        <v>1.9703407675032369E-6</v>
      </c>
    </row>
    <row r="37" spans="1:5">
      <c r="A37" s="14">
        <f t="shared" si="1"/>
        <v>7.25</v>
      </c>
      <c r="B37" s="4">
        <f t="shared" si="2"/>
        <v>6.9768155421730015E-8</v>
      </c>
      <c r="C37" s="4">
        <f t="shared" si="3"/>
        <v>1.4978728814983517E-5</v>
      </c>
      <c r="D37" s="4">
        <f t="shared" si="0"/>
        <v>6.0333524192464451E-6</v>
      </c>
      <c r="E37" s="4">
        <f>IF($D57&gt;0, D37/$D57, 0)</f>
        <v>1.5467153978056084E-6</v>
      </c>
    </row>
    <row r="38" spans="1:5">
      <c r="A38" s="14">
        <f t="shared" si="1"/>
        <v>7.5</v>
      </c>
      <c r="B38" s="4">
        <f t="shared" si="2"/>
        <v>4.9886364963109824E-8</v>
      </c>
      <c r="C38" s="4">
        <f t="shared" si="3"/>
        <v>1.1835485931904013E-5</v>
      </c>
      <c r="D38" s="4">
        <f t="shared" si="0"/>
        <v>4.7641261917394713E-6</v>
      </c>
      <c r="E38" s="4">
        <f>IF($D57&gt;0, D38/$D57, 0)</f>
        <v>1.2213354741795072E-6</v>
      </c>
    </row>
    <row r="39" spans="1:5">
      <c r="A39" s="14">
        <f t="shared" si="1"/>
        <v>7.75</v>
      </c>
      <c r="B39" s="4">
        <f t="shared" si="2"/>
        <v>3.595543463307883E-8</v>
      </c>
      <c r="C39" s="4">
        <f t="shared" si="3"/>
        <v>9.4033473128239521E-6</v>
      </c>
      <c r="D39" s="4">
        <f t="shared" si="0"/>
        <v>3.7829121859094286E-6</v>
      </c>
      <c r="E39" s="4">
        <f>IF($D57&gt;0, D39/$D57, 0)</f>
        <v>9.6979061057788764E-7</v>
      </c>
    </row>
    <row r="40" spans="1:5">
      <c r="A40" s="14">
        <f t="shared" si="1"/>
        <v>8</v>
      </c>
      <c r="B40" s="4">
        <f t="shared" si="2"/>
        <v>2.6111203796213204E-8</v>
      </c>
      <c r="C40" s="4">
        <f t="shared" si="3"/>
        <v>7.5100513992644986E-6</v>
      </c>
      <c r="D40" s="4">
        <f t="shared" ref="D40:D56" si="4">$B$4*B40 + $D$4*C40</f>
        <v>3.0196872819835276E-6</v>
      </c>
      <c r="E40" s="4">
        <f>IF($D57&gt;0, D40/$D57, 0)</f>
        <v>7.7412961999409238E-7</v>
      </c>
    </row>
    <row r="41" spans="1:5">
      <c r="A41" s="14">
        <f t="shared" si="1"/>
        <v>8.25</v>
      </c>
      <c r="B41" s="4">
        <f t="shared" si="2"/>
        <v>1.9098730124358566E-8</v>
      </c>
      <c r="C41" s="4">
        <f t="shared" si="3"/>
        <v>6.0277543706976311E-6</v>
      </c>
      <c r="D41" s="4">
        <f t="shared" si="4"/>
        <v>2.4225609863536676E-6</v>
      </c>
      <c r="E41" s="4">
        <f>IF($D57&gt;0, D41/$D57, 0)</f>
        <v>6.2104981100778383E-7</v>
      </c>
    </row>
    <row r="42" spans="1:5">
      <c r="A42" s="14">
        <f t="shared" si="1"/>
        <v>8.5</v>
      </c>
      <c r="B42" s="4">
        <f t="shared" si="2"/>
        <v>1.4065184674207832E-8</v>
      </c>
      <c r="C42" s="4">
        <f t="shared" si="3"/>
        <v>4.8609028936539769E-6</v>
      </c>
      <c r="D42" s="4">
        <f t="shared" si="4"/>
        <v>1.9528002682661156E-6</v>
      </c>
      <c r="E42" s="4">
        <f>IF($D57&gt;0, D42/$D57, 0)</f>
        <v>5.0062155065415015E-7</v>
      </c>
    </row>
    <row r="43" spans="1:5">
      <c r="A43" s="14">
        <f t="shared" si="1"/>
        <v>8.75</v>
      </c>
      <c r="B43" s="4">
        <f t="shared" si="2"/>
        <v>1.0425793045843731E-8</v>
      </c>
      <c r="C43" s="4">
        <f t="shared" si="3"/>
        <v>3.937596643975339E-6</v>
      </c>
      <c r="D43" s="4">
        <f t="shared" si="4"/>
        <v>1.5812941334176419E-6</v>
      </c>
      <c r="E43" s="4">
        <f>IF($D57&gt;0, D43/$D57, 0)</f>
        <v>4.0538191948054976E-7</v>
      </c>
    </row>
    <row r="44" spans="1:5">
      <c r="A44" s="14">
        <f t="shared" si="1"/>
        <v>9</v>
      </c>
      <c r="B44" s="4">
        <f t="shared" si="2"/>
        <v>7.7761565448122796E-9</v>
      </c>
      <c r="C44" s="4">
        <f t="shared" si="3"/>
        <v>3.2033865065573567E-6</v>
      </c>
      <c r="D44" s="4">
        <f t="shared" si="4"/>
        <v>1.28602029654983E-6</v>
      </c>
      <c r="E44" s="4">
        <f>IF($D57&gt;0, D44/$D57, 0)</f>
        <v>3.2968526556129682E-7</v>
      </c>
    </row>
    <row r="45" spans="1:5">
      <c r="A45" s="14">
        <f t="shared" si="1"/>
        <v>9.25</v>
      </c>
      <c r="B45" s="4">
        <f t="shared" si="2"/>
        <v>5.8343412334884475E-9</v>
      </c>
      <c r="C45" s="4">
        <f t="shared" si="3"/>
        <v>2.6167873429339717E-6</v>
      </c>
      <c r="D45" s="4">
        <f t="shared" si="4"/>
        <v>1.0502155419136818E-6</v>
      </c>
      <c r="E45" s="4">
        <f>IF($D57&gt;0, D45/$D57, 0)</f>
        <v>2.6923415653805542E-7</v>
      </c>
    </row>
    <row r="46" spans="1:5">
      <c r="A46" s="14">
        <f t="shared" si="1"/>
        <v>9.5</v>
      </c>
      <c r="B46" s="4">
        <f t="shared" si="2"/>
        <v>4.4022694393564538E-9</v>
      </c>
      <c r="C46" s="4">
        <f t="shared" si="3"/>
        <v>2.1460075503408507E-6</v>
      </c>
      <c r="D46" s="4">
        <f t="shared" si="4"/>
        <v>8.6104438179995416E-7</v>
      </c>
      <c r="E46" s="4">
        <f>IF($D57&gt;0, D46/$D57, 0)</f>
        <v>2.207380757794915E-7</v>
      </c>
    </row>
    <row r="47" spans="1:5">
      <c r="A47" s="14">
        <f t="shared" si="1"/>
        <v>9.75</v>
      </c>
      <c r="B47" s="4">
        <f t="shared" si="2"/>
        <v>3.3397500751506616E-9</v>
      </c>
      <c r="C47" s="4">
        <f t="shared" si="3"/>
        <v>1.7665488475558787E-6</v>
      </c>
      <c r="D47" s="4">
        <f t="shared" si="4"/>
        <v>7.0862338906744184E-7</v>
      </c>
      <c r="E47" s="4">
        <f>IF($D57&gt;0, D47/$D57, 0)</f>
        <v>1.8166329943191018E-7</v>
      </c>
    </row>
    <row r="48" spans="1:5">
      <c r="A48" s="14">
        <f t="shared" si="1"/>
        <v>10</v>
      </c>
      <c r="B48" s="4">
        <f t="shared" si="2"/>
        <v>2.5468616608861123E-9</v>
      </c>
      <c r="C48" s="4">
        <f t="shared" si="3"/>
        <v>1.4594330271420417E-6</v>
      </c>
      <c r="D48" s="4">
        <f t="shared" si="4"/>
        <v>5.853013278533484E-7</v>
      </c>
      <c r="E48" s="4">
        <f>IF($D57&gt;0, D48/$D57, 0)</f>
        <v>1.5004835011111653E-7</v>
      </c>
    </row>
    <row r="49" spans="1:5">
      <c r="A49" s="14">
        <f t="shared" si="1"/>
        <v>10.25</v>
      </c>
      <c r="B49" s="4">
        <f t="shared" si="2"/>
        <v>1.95190447549481E-9</v>
      </c>
      <c r="C49" s="4">
        <f t="shared" si="3"/>
        <v>1.2098835949045332E-6</v>
      </c>
      <c r="D49" s="4">
        <f t="shared" si="4"/>
        <v>4.8512458064711023E-7</v>
      </c>
      <c r="E49" s="4">
        <f>IF($D57&gt;0, D49/$D57, 0)</f>
        <v>1.2436695332884125E-7</v>
      </c>
    </row>
    <row r="50" spans="1:5">
      <c r="A50" s="14">
        <f t="shared" si="1"/>
        <v>10.5</v>
      </c>
      <c r="B50" s="4">
        <f t="shared" si="2"/>
        <v>1.5030973736654246E-9</v>
      </c>
      <c r="C50" s="4">
        <f t="shared" si="3"/>
        <v>1.0063396656291625E-6</v>
      </c>
      <c r="D50" s="4">
        <f t="shared" si="4"/>
        <v>4.0343772467586428E-7</v>
      </c>
      <c r="E50" s="4">
        <f>IF($D57&gt;0, D50/$D57, 0)</f>
        <v>1.0342564091254524E-7</v>
      </c>
    </row>
    <row r="51" spans="1:5">
      <c r="A51" s="14">
        <f t="shared" si="1"/>
        <v>10.75</v>
      </c>
      <c r="B51" s="4">
        <f t="shared" si="2"/>
        <v>1.1628128951606528E-9</v>
      </c>
      <c r="C51" s="4">
        <f t="shared" si="3"/>
        <v>8.3971410309621468E-7</v>
      </c>
      <c r="D51" s="4">
        <f t="shared" si="4"/>
        <v>3.3658332897558228E-7</v>
      </c>
      <c r="E51" s="4">
        <f>IF($D57&gt;0, D51/$D57, 0)</f>
        <v>8.6286790725250815E-8</v>
      </c>
    </row>
    <row r="52" spans="1:5">
      <c r="A52" s="14">
        <f t="shared" si="1"/>
        <v>11</v>
      </c>
      <c r="B52" s="4">
        <f t="shared" si="2"/>
        <v>9.0354626543844321E-10</v>
      </c>
      <c r="C52" s="4">
        <f t="shared" si="3"/>
        <v>7.0283230991485716E-7</v>
      </c>
      <c r="D52" s="4">
        <f t="shared" si="4"/>
        <v>2.8167505172520596E-7</v>
      </c>
      <c r="E52" s="4">
        <f>IF($D57&gt;0, D52/$D57, 0)</f>
        <v>7.2210457703626365E-8</v>
      </c>
    </row>
    <row r="53" spans="1:5">
      <c r="A53" s="14">
        <f t="shared" si="1"/>
        <v>11.25</v>
      </c>
      <c r="B53" s="4">
        <f t="shared" si="2"/>
        <v>7.0507759301682905E-10</v>
      </c>
      <c r="C53" s="4">
        <f t="shared" si="3"/>
        <v>5.9000541777239391E-7</v>
      </c>
      <c r="D53" s="4">
        <f t="shared" si="4"/>
        <v>2.3642521366476766E-7</v>
      </c>
      <c r="E53" s="4">
        <f>IF($D57&gt;0, D53/$D57, 0)</f>
        <v>6.0610170431656996E-8</v>
      </c>
    </row>
    <row r="54" spans="1:5">
      <c r="A54" s="14">
        <f t="shared" si="1"/>
        <v>11.5</v>
      </c>
      <c r="B54" s="4">
        <f t="shared" si="2"/>
        <v>5.5246101775055405E-10</v>
      </c>
      <c r="C54" s="4">
        <f t="shared" si="3"/>
        <v>4.9670403384913164E-7</v>
      </c>
      <c r="D54" s="4">
        <f t="shared" si="4"/>
        <v>1.99013090150303E-7</v>
      </c>
      <c r="E54" s="4">
        <f>IF($D57&gt;0, D54/$D57, 0)</f>
        <v>5.1019166378945761E-8</v>
      </c>
    </row>
    <row r="55" spans="1:5">
      <c r="A55" s="14">
        <f t="shared" si="1"/>
        <v>11.75</v>
      </c>
      <c r="B55" s="4">
        <f t="shared" si="2"/>
        <v>4.3459089211731853E-10</v>
      </c>
      <c r="C55" s="4">
        <f t="shared" si="3"/>
        <v>4.1930762930496737E-7</v>
      </c>
      <c r="D55" s="4">
        <f t="shared" si="4"/>
        <v>1.6798380625725734E-7</v>
      </c>
      <c r="E55" s="4">
        <f>IF($D57&gt;0, D55/$D57, 0)</f>
        <v>4.3064472562758975E-8</v>
      </c>
    </row>
    <row r="56" spans="1:5" ht="16" thickBot="1">
      <c r="A56" s="15">
        <f t="shared" si="1"/>
        <v>12</v>
      </c>
      <c r="B56" s="12">
        <f t="shared" si="2"/>
        <v>3.431732453422484E-10</v>
      </c>
      <c r="C56" s="12">
        <f t="shared" si="3"/>
        <v>3.5491112464150024E-7</v>
      </c>
      <c r="D56" s="12">
        <f t="shared" si="4"/>
        <v>1.4217035380380546E-7</v>
      </c>
      <c r="E56" s="12">
        <f>IF($D57&gt;0, D56/$D57, 0)</f>
        <v>3.6446913765279733E-8</v>
      </c>
    </row>
    <row r="57" spans="1:5">
      <c r="A57" s="16" t="s">
        <v>22</v>
      </c>
      <c r="B57" s="11">
        <f>SUM(B8:B56)</f>
        <v>3.8832043217970824</v>
      </c>
      <c r="C57" s="11">
        <f t="shared" ref="C57:E57" si="5">SUM(C8:C56)</f>
        <v>3.9270722853799751</v>
      </c>
      <c r="D57" s="11">
        <f t="shared" si="5"/>
        <v>3.9007515072302388</v>
      </c>
      <c r="E57" s="11">
        <f t="shared" si="5"/>
        <v>0.99999999999999989</v>
      </c>
    </row>
  </sheetData>
  <mergeCells count="2">
    <mergeCell ref="A1:E1"/>
    <mergeCell ref="T1:U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B447-8207-AC4D-A4FE-0BE2A81FD93D}">
  <dimension ref="A1:V57"/>
  <sheetViews>
    <sheetView topLeftCell="A19" zoomScale="82" workbookViewId="0">
      <selection activeCell="E45" sqref="E45"/>
    </sheetView>
  </sheetViews>
  <sheetFormatPr baseColWidth="10" defaultColWidth="8.83203125" defaultRowHeight="15"/>
  <cols>
    <col min="1" max="1" width="13.33203125" customWidth="1"/>
    <col min="2" max="3" width="16" customWidth="1"/>
    <col min="4" max="4" width="11.83203125" bestFit="1" customWidth="1"/>
    <col min="5" max="5" width="13.1640625" customWidth="1"/>
    <col min="6" max="6" width="12.83203125" customWidth="1"/>
    <col min="7" max="7" width="14" customWidth="1"/>
    <col min="9" max="9" width="13.1640625" customWidth="1"/>
    <col min="20" max="20" width="5.33203125" bestFit="1" customWidth="1"/>
    <col min="21" max="21" width="54.1640625" bestFit="1" customWidth="1"/>
  </cols>
  <sheetData>
    <row r="1" spans="1:22" ht="19" thickBot="1">
      <c r="A1" s="18" t="s">
        <v>0</v>
      </c>
      <c r="B1" s="19"/>
      <c r="C1" s="19"/>
      <c r="D1" s="19"/>
      <c r="E1" s="19"/>
      <c r="J1" t="s">
        <v>17</v>
      </c>
      <c r="T1" s="20" t="s">
        <v>18</v>
      </c>
      <c r="U1" s="21"/>
      <c r="V1" s="6"/>
    </row>
    <row r="2" spans="1:22" ht="18">
      <c r="A2" t="s">
        <v>1</v>
      </c>
      <c r="B2" s="4">
        <f>LN(J2)</f>
        <v>1.5040773967762742</v>
      </c>
      <c r="C2" t="s">
        <v>26</v>
      </c>
      <c r="D2" s="4">
        <f>LN(J3)</f>
        <v>2.2512917986064953</v>
      </c>
      <c r="E2" t="s">
        <v>3</v>
      </c>
      <c r="F2" s="4">
        <v>0.25</v>
      </c>
      <c r="I2" t="s">
        <v>15</v>
      </c>
      <c r="J2">
        <v>4.5</v>
      </c>
      <c r="L2" s="3"/>
      <c r="T2" s="7">
        <v>0.2</v>
      </c>
      <c r="U2" s="8" t="s">
        <v>19</v>
      </c>
      <c r="V2" s="6"/>
    </row>
    <row r="3" spans="1:22" ht="18">
      <c r="A3" t="s">
        <v>4</v>
      </c>
      <c r="B3" s="4">
        <v>0.2</v>
      </c>
      <c r="C3" t="s">
        <v>27</v>
      </c>
      <c r="D3" s="4">
        <v>0.3</v>
      </c>
      <c r="F3" s="4"/>
      <c r="I3" t="s">
        <v>29</v>
      </c>
      <c r="J3">
        <v>9.5</v>
      </c>
      <c r="L3" s="3"/>
      <c r="T3" s="7">
        <v>0.5</v>
      </c>
      <c r="U3" s="8" t="s">
        <v>20</v>
      </c>
      <c r="V3" s="6"/>
    </row>
    <row r="4" spans="1:22" ht="19" thickBot="1">
      <c r="A4" t="s">
        <v>6</v>
      </c>
      <c r="B4" s="4">
        <v>0.15</v>
      </c>
      <c r="C4" t="s">
        <v>7</v>
      </c>
      <c r="D4" s="4">
        <v>0.85</v>
      </c>
      <c r="E4" t="s">
        <v>8</v>
      </c>
      <c r="F4" s="4">
        <v>12</v>
      </c>
      <c r="T4" s="9">
        <v>1</v>
      </c>
      <c r="U4" s="10" t="s">
        <v>21</v>
      </c>
      <c r="V4" s="6"/>
    </row>
    <row r="5" spans="1:22">
      <c r="A5" t="s">
        <v>9</v>
      </c>
      <c r="B5" s="4">
        <f>B4+D4</f>
        <v>1</v>
      </c>
      <c r="F5" s="4"/>
    </row>
    <row r="6" spans="1:22">
      <c r="A6" s="1"/>
    </row>
    <row r="7" spans="1:22" ht="16" thickBot="1">
      <c r="A7" s="2" t="s">
        <v>10</v>
      </c>
      <c r="B7" s="2" t="s">
        <v>30</v>
      </c>
      <c r="C7" s="2" t="s">
        <v>31</v>
      </c>
      <c r="D7" s="2" t="s">
        <v>13</v>
      </c>
      <c r="E7" s="2" t="s">
        <v>14</v>
      </c>
    </row>
    <row r="8" spans="1:22">
      <c r="A8" s="13">
        <v>0</v>
      </c>
      <c r="B8" s="4">
        <f>IF(A8&gt;0,_xlfn.LOGNORM.DIST(A8,$B$2,$B$3,FALSE),0)</f>
        <v>0</v>
      </c>
      <c r="C8" s="4">
        <f>IF(A8&gt;0,_xlfn.LOGNORM.DIST(A8,$C$2,$C$3,FALSE),0)</f>
        <v>0</v>
      </c>
      <c r="D8" s="4">
        <f t="shared" ref="D8:D39" si="0">$B$4*B8 + $D$4*C8</f>
        <v>0</v>
      </c>
      <c r="E8" s="4">
        <f>IF($D57&gt;0, D8/$D57, 0)</f>
        <v>0</v>
      </c>
    </row>
    <row r="9" spans="1:22">
      <c r="A9" s="14">
        <f t="shared" ref="A9:A56" si="1">A8+$F$2</f>
        <v>0.25</v>
      </c>
      <c r="B9" s="4">
        <f t="shared" ref="B9:B56" si="2">IF(A9&gt;0,_xlfn.LOGNORM.DIST(A9,$B$2,$B$3,FALSE),0)</f>
        <v>3.543134153455348E-45</v>
      </c>
      <c r="C9" s="4">
        <f t="shared" ref="C9:C56" si="3">IF(A9&gt;0,_xlfn.LOGNORM.DIST(A9,$D$2,$D$3,FALSE),0)</f>
        <v>6.3139203666405077E-32</v>
      </c>
      <c r="D9" s="4">
        <f t="shared" si="0"/>
        <v>5.3668323116444851E-32</v>
      </c>
      <c r="E9" s="4">
        <f>IF($D57&gt;0, D9/$D57, 0)</f>
        <v>1.629821947783551E-32</v>
      </c>
    </row>
    <row r="10" spans="1:22">
      <c r="A10" s="14">
        <f t="shared" si="1"/>
        <v>0.5</v>
      </c>
      <c r="B10" s="4">
        <f t="shared" si="2"/>
        <v>2.4680069868249372E-26</v>
      </c>
      <c r="C10" s="4">
        <f t="shared" si="3"/>
        <v>3.2134729948617653E-21</v>
      </c>
      <c r="D10" s="4">
        <f t="shared" si="0"/>
        <v>2.7314557476429806E-21</v>
      </c>
      <c r="E10" s="4">
        <f>IF($D57&gt;0, D10/$D57, 0)</f>
        <v>8.29499836849562E-22</v>
      </c>
    </row>
    <row r="11" spans="1:22">
      <c r="A11" s="14">
        <f t="shared" si="1"/>
        <v>0.75</v>
      </c>
      <c r="B11" s="4">
        <f t="shared" si="2"/>
        <v>9.9213418666968599E-18</v>
      </c>
      <c r="C11" s="4">
        <f t="shared" si="3"/>
        <v>4.9570430248105823E-16</v>
      </c>
      <c r="D11" s="4">
        <f t="shared" si="0"/>
        <v>4.2283685838890406E-16</v>
      </c>
      <c r="E11" s="4">
        <f>IF($D57&gt;0, D11/$D57, 0)</f>
        <v>1.2840885500350479E-16</v>
      </c>
    </row>
    <row r="12" spans="1:22">
      <c r="A12" s="14">
        <f t="shared" si="1"/>
        <v>1</v>
      </c>
      <c r="B12" s="4">
        <f t="shared" si="2"/>
        <v>1.0443663120103125E-12</v>
      </c>
      <c r="C12" s="4">
        <f t="shared" si="3"/>
        <v>7.8564609488564553E-13</v>
      </c>
      <c r="D12" s="4">
        <f t="shared" si="0"/>
        <v>8.2445412745434559E-13</v>
      </c>
      <c r="E12" s="4">
        <f>IF($D57&gt;0, D12/$D57, 0)</f>
        <v>2.503736569056494E-13</v>
      </c>
    </row>
    <row r="13" spans="1:22">
      <c r="A13" s="14">
        <f t="shared" si="1"/>
        <v>1.25</v>
      </c>
      <c r="B13" s="4">
        <f t="shared" si="2"/>
        <v>1.9753146640533156E-9</v>
      </c>
      <c r="C13" s="4">
        <f t="shared" si="3"/>
        <v>1.2656692352350177E-10</v>
      </c>
      <c r="D13" s="4">
        <f t="shared" si="0"/>
        <v>4.0387908460297384E-10</v>
      </c>
      <c r="E13" s="4">
        <f>IF($D57&gt;0, D13/$D57, 0)</f>
        <v>1.2265167944756551E-10</v>
      </c>
    </row>
    <row r="14" spans="1:22">
      <c r="A14" s="14">
        <f t="shared" si="1"/>
        <v>1.5</v>
      </c>
      <c r="B14" s="4">
        <f t="shared" si="2"/>
        <v>3.7294766366548568E-7</v>
      </c>
      <c r="C14" s="4">
        <f t="shared" si="3"/>
        <v>5.3368417636570837E-9</v>
      </c>
      <c r="D14" s="4">
        <f t="shared" si="0"/>
        <v>6.0478465048931373E-8</v>
      </c>
      <c r="E14" s="4">
        <f>IF($D57&gt;0, D14/$D57, 0)</f>
        <v>1.8366351691507491E-8</v>
      </c>
    </row>
    <row r="15" spans="1:22">
      <c r="A15" s="14">
        <f t="shared" si="1"/>
        <v>1.75</v>
      </c>
      <c r="B15" s="4">
        <f t="shared" si="2"/>
        <v>1.6383873323056371E-5</v>
      </c>
      <c r="C15" s="4">
        <f t="shared" si="3"/>
        <v>9.4630017585507081E-8</v>
      </c>
      <c r="D15" s="4">
        <f t="shared" si="0"/>
        <v>2.5380165134061368E-6</v>
      </c>
      <c r="E15" s="4">
        <f>IF($D57&gt;0, D15/$D57, 0)</f>
        <v>7.7075540601694544E-7</v>
      </c>
    </row>
    <row r="16" spans="1:22">
      <c r="A16" s="14">
        <f t="shared" si="1"/>
        <v>2</v>
      </c>
      <c r="B16" s="4">
        <f t="shared" si="2"/>
        <v>2.6847694973460229E-4</v>
      </c>
      <c r="C16" s="4">
        <f t="shared" si="3"/>
        <v>9.2269040591139665E-7</v>
      </c>
      <c r="D16" s="4">
        <f t="shared" si="0"/>
        <v>4.1055829305215028E-5</v>
      </c>
      <c r="E16" s="4">
        <f>IF($D57&gt;0, D16/$D57, 0)</f>
        <v>1.2468004923669973E-5</v>
      </c>
    </row>
    <row r="17" spans="1:5">
      <c r="A17" s="14">
        <f t="shared" si="1"/>
        <v>2.25</v>
      </c>
      <c r="B17" s="4">
        <f t="shared" si="2"/>
        <v>2.1851003800479915E-3</v>
      </c>
      <c r="C17" s="4">
        <f t="shared" si="3"/>
        <v>5.834733361439857E-6</v>
      </c>
      <c r="D17" s="4">
        <f t="shared" si="0"/>
        <v>3.327245803644226E-4</v>
      </c>
      <c r="E17" s="4">
        <f>IF($D57&gt;0, D17/$D57, 0)</f>
        <v>1.0104318379175218E-4</v>
      </c>
    </row>
    <row r="18" spans="1:5">
      <c r="A18" s="14">
        <f t="shared" si="1"/>
        <v>2.5</v>
      </c>
      <c r="B18" s="4">
        <f t="shared" si="2"/>
        <v>1.0625952771245648E-2</v>
      </c>
      <c r="C18" s="4">
        <f t="shared" si="3"/>
        <v>2.6655307166898445E-5</v>
      </c>
      <c r="D18" s="4">
        <f t="shared" si="0"/>
        <v>1.616549926778711E-3</v>
      </c>
      <c r="E18" s="4">
        <f>IF($D57&gt;0, D18/$D57, 0)</f>
        <v>4.9092060220240485E-4</v>
      </c>
    </row>
    <row r="19" spans="1:5">
      <c r="A19" s="14">
        <f t="shared" si="1"/>
        <v>2.75</v>
      </c>
      <c r="B19" s="4">
        <f t="shared" si="2"/>
        <v>3.4987475054377562E-2</v>
      </c>
      <c r="C19" s="4">
        <f t="shared" si="3"/>
        <v>9.4725198795388366E-5</v>
      </c>
      <c r="D19" s="4">
        <f t="shared" si="0"/>
        <v>5.3286376771327143E-3</v>
      </c>
      <c r="E19" s="4">
        <f>IF($D57&gt;0, D19/$D57, 0)</f>
        <v>1.61822284238952E-3</v>
      </c>
    </row>
    <row r="20" spans="1:5">
      <c r="A20" s="14">
        <f t="shared" si="1"/>
        <v>3</v>
      </c>
      <c r="B20" s="4">
        <f t="shared" si="2"/>
        <v>8.516733309019979E-2</v>
      </c>
      <c r="C20" s="4">
        <f t="shared" si="3"/>
        <v>2.7600866165109877E-4</v>
      </c>
      <c r="D20" s="4">
        <f t="shared" si="0"/>
        <v>1.3009707325933401E-2</v>
      </c>
      <c r="E20" s="4">
        <f>IF($D57&gt;0, D20/$D57, 0)</f>
        <v>3.950842005635463E-3</v>
      </c>
    </row>
    <row r="21" spans="1:5">
      <c r="A21" s="14">
        <f t="shared" si="1"/>
        <v>3.25</v>
      </c>
      <c r="B21" s="4">
        <f t="shared" si="2"/>
        <v>0.16334310514445041</v>
      </c>
      <c r="C21" s="4">
        <f t="shared" si="3"/>
        <v>6.8536188757122138E-4</v>
      </c>
      <c r="D21" s="4">
        <f t="shared" si="0"/>
        <v>2.5084023376103097E-2</v>
      </c>
      <c r="E21" s="4">
        <f>IF($D57&gt;0, D21/$D57, 0)</f>
        <v>7.6176204999707569E-3</v>
      </c>
    </row>
    <row r="22" spans="1:5">
      <c r="A22" s="14">
        <f t="shared" si="1"/>
        <v>3.5</v>
      </c>
      <c r="B22" s="4">
        <f t="shared" si="2"/>
        <v>0.25878689309857666</v>
      </c>
      <c r="C22" s="4">
        <f t="shared" si="3"/>
        <v>1.4930265987459159E-3</v>
      </c>
      <c r="D22" s="4">
        <f t="shared" si="0"/>
        <v>4.0087106573720527E-2</v>
      </c>
      <c r="E22" s="4">
        <f>IF($D57&gt;0, D22/$D57, 0)</f>
        <v>1.2173819177325537E-2</v>
      </c>
    </row>
    <row r="23" spans="1:5">
      <c r="A23" s="14">
        <f t="shared" si="1"/>
        <v>3.75</v>
      </c>
      <c r="B23" s="4">
        <f t="shared" si="2"/>
        <v>0.35106958171802666</v>
      </c>
      <c r="C23" s="4">
        <f t="shared" si="3"/>
        <v>2.917793290176648E-3</v>
      </c>
      <c r="D23" s="4">
        <f t="shared" si="0"/>
        <v>5.5140561554354144E-2</v>
      </c>
      <c r="E23" s="4">
        <f>IF($D57&gt;0, D23/$D57, 0)</f>
        <v>1.6745314967155894E-2</v>
      </c>
    </row>
    <row r="24" spans="1:5">
      <c r="A24" s="14">
        <f t="shared" si="1"/>
        <v>4</v>
      </c>
      <c r="B24" s="4">
        <f t="shared" si="2"/>
        <v>0.4192845278259611</v>
      </c>
      <c r="C24" s="4">
        <f t="shared" si="3"/>
        <v>5.2054922076834572E-3</v>
      </c>
      <c r="D24" s="4">
        <f t="shared" si="0"/>
        <v>6.7317347550425094E-2</v>
      </c>
      <c r="E24" s="4">
        <f>IF($D57&gt;0, D24/$D57, 0)</f>
        <v>2.0443211960657948E-2</v>
      </c>
    </row>
    <row r="25" spans="1:5">
      <c r="A25" s="14">
        <f t="shared" si="1"/>
        <v>4.25</v>
      </c>
      <c r="B25" s="4">
        <f t="shared" si="2"/>
        <v>0.45056264404562302</v>
      </c>
      <c r="C25" s="4">
        <f t="shared" si="3"/>
        <v>8.5963638725831664E-3</v>
      </c>
      <c r="D25" s="4">
        <f t="shared" si="0"/>
        <v>7.4891305898539151E-2</v>
      </c>
      <c r="E25" s="4">
        <f>IF($D57&gt;0, D25/$D57, 0)</f>
        <v>2.2743303118820533E-2</v>
      </c>
    </row>
    <row r="26" spans="1:5">
      <c r="A26" s="14">
        <f t="shared" si="1"/>
        <v>4.5</v>
      </c>
      <c r="B26" s="4">
        <f t="shared" si="2"/>
        <v>0.44326920044603618</v>
      </c>
      <c r="C26" s="4">
        <f t="shared" si="3"/>
        <v>1.3288278923983288E-2</v>
      </c>
      <c r="D26" s="4">
        <f t="shared" si="0"/>
        <v>7.7785417152291217E-2</v>
      </c>
      <c r="E26" s="4">
        <f>IF($D57&gt;0, D26/$D57, 0)</f>
        <v>2.3622198855968533E-2</v>
      </c>
    </row>
    <row r="27" spans="1:5">
      <c r="A27" s="14">
        <f t="shared" si="1"/>
        <v>4.75</v>
      </c>
      <c r="B27" s="4">
        <f t="shared" si="2"/>
        <v>0.4048712984370747</v>
      </c>
      <c r="C27" s="4">
        <f t="shared" si="3"/>
        <v>1.9403656377940452E-2</v>
      </c>
      <c r="D27" s="4">
        <f t="shared" si="0"/>
        <v>7.7223802686810589E-2</v>
      </c>
      <c r="E27" s="4">
        <f>IF($D57&gt;0, D27/$D57, 0)</f>
        <v>2.345164544030711E-2</v>
      </c>
    </row>
    <row r="28" spans="1:5">
      <c r="A28" s="14">
        <f t="shared" si="1"/>
        <v>5</v>
      </c>
      <c r="B28" s="4">
        <f t="shared" si="2"/>
        <v>0.34725391904983893</v>
      </c>
      <c r="C28" s="4">
        <f t="shared" si="3"/>
        <v>2.696645800757632E-2</v>
      </c>
      <c r="D28" s="4">
        <f t="shared" si="0"/>
        <v>7.5009577163915708E-2</v>
      </c>
      <c r="E28" s="4">
        <f>IF($D57&gt;0, D28/$D57, 0)</f>
        <v>2.2779220228375939E-2</v>
      </c>
    </row>
    <row r="29" spans="1:5">
      <c r="A29" s="14">
        <f t="shared" si="1"/>
        <v>5.25</v>
      </c>
      <c r="B29" s="4">
        <f t="shared" si="2"/>
        <v>0.28230729619664929</v>
      </c>
      <c r="C29" s="4">
        <f t="shared" si="3"/>
        <v>3.5892775589738912E-2</v>
      </c>
      <c r="D29" s="4">
        <f t="shared" si="0"/>
        <v>7.2854953680775464E-2</v>
      </c>
      <c r="E29" s="4">
        <f>IF($D57&gt;0, D29/$D57, 0)</f>
        <v>2.2124895211659369E-2</v>
      </c>
    </row>
    <row r="30" spans="1:5">
      <c r="A30" s="14">
        <f t="shared" si="1"/>
        <v>5.5</v>
      </c>
      <c r="B30" s="4">
        <f t="shared" si="2"/>
        <v>0.2192357129307502</v>
      </c>
      <c r="C30" s="4">
        <f t="shared" si="3"/>
        <v>4.5995397183336659E-2</v>
      </c>
      <c r="D30" s="4">
        <f t="shared" si="0"/>
        <v>7.1981444545448692E-2</v>
      </c>
      <c r="E30" s="4">
        <f>IF($D57&gt;0, D30/$D57, 0)</f>
        <v>2.1859624326027997E-2</v>
      </c>
    </row>
    <row r="31" spans="1:5">
      <c r="A31" s="14">
        <f t="shared" si="1"/>
        <v>5.75</v>
      </c>
      <c r="B31" s="4">
        <f t="shared" si="2"/>
        <v>0.16369289166576373</v>
      </c>
      <c r="C31" s="4">
        <f t="shared" si="3"/>
        <v>5.7000189023915883E-2</v>
      </c>
      <c r="D31" s="4">
        <f t="shared" si="0"/>
        <v>7.3004094420193066E-2</v>
      </c>
      <c r="E31" s="4">
        <f>IF($D57&gt;0, D31/$D57, 0)</f>
        <v>2.2170186891424373E-2</v>
      </c>
    </row>
    <row r="32" spans="1:5">
      <c r="A32" s="14">
        <f t="shared" si="1"/>
        <v>6</v>
      </c>
      <c r="B32" s="4">
        <f t="shared" si="2"/>
        <v>0.11815330827274578</v>
      </c>
      <c r="C32" s="4">
        <f t="shared" si="3"/>
        <v>6.8570583220903966E-2</v>
      </c>
      <c r="D32" s="4">
        <f t="shared" si="0"/>
        <v>7.6007991978680231E-2</v>
      </c>
      <c r="E32" s="4">
        <f>IF($D57&gt;0, D32/$D57, 0)</f>
        <v>2.3082422990005892E-2</v>
      </c>
    </row>
    <row r="33" spans="1:5">
      <c r="A33" s="14">
        <f t="shared" si="1"/>
        <v>6.25</v>
      </c>
      <c r="B33" s="4">
        <f t="shared" si="2"/>
        <v>8.2825556673888467E-2</v>
      </c>
      <c r="C33" s="4">
        <f t="shared" si="3"/>
        <v>8.0335955348478011E-2</v>
      </c>
      <c r="D33" s="4">
        <f t="shared" si="0"/>
        <v>8.0709395547289578E-2</v>
      </c>
      <c r="E33" s="4">
        <f>IF($D57&gt;0, D33/$D57, 0)</f>
        <v>2.4510164770736045E-2</v>
      </c>
    </row>
    <row r="34" spans="1:5">
      <c r="A34" s="14">
        <f t="shared" si="1"/>
        <v>6.5</v>
      </c>
      <c r="B34" s="4">
        <f t="shared" si="2"/>
        <v>5.660988164467648E-2</v>
      </c>
      <c r="C34" s="4">
        <f t="shared" si="3"/>
        <v>9.1920000080330105E-2</v>
      </c>
      <c r="D34" s="4">
        <f t="shared" si="0"/>
        <v>8.6623482314982056E-2</v>
      </c>
      <c r="E34" s="4">
        <f>IF($D57&gt;0, D34/$D57, 0)</f>
        <v>2.6306179226818046E-2</v>
      </c>
    </row>
    <row r="35" spans="1:5">
      <c r="A35" s="14">
        <f t="shared" si="1"/>
        <v>6.75</v>
      </c>
      <c r="B35" s="4">
        <f t="shared" si="2"/>
        <v>3.7852148040088761E-2</v>
      </c>
      <c r="C35" s="4">
        <f t="shared" si="3"/>
        <v>0.10296605593527007</v>
      </c>
      <c r="D35" s="4">
        <f t="shared" si="0"/>
        <v>9.3198969750992872E-2</v>
      </c>
      <c r="E35" s="4">
        <f>IF($D57&gt;0, D35/$D57, 0)</f>
        <v>2.8303050587477646E-2</v>
      </c>
    </row>
    <row r="36" spans="1:5">
      <c r="A36" s="14">
        <f t="shared" si="1"/>
        <v>7</v>
      </c>
      <c r="B36" s="4">
        <f t="shared" si="2"/>
        <v>2.4832226042368261E-2</v>
      </c>
      <c r="C36" s="4">
        <f t="shared" si="3"/>
        <v>0.1131573885161407</v>
      </c>
      <c r="D36" s="4">
        <f t="shared" si="0"/>
        <v>9.9908614145074834E-2</v>
      </c>
      <c r="E36" s="4">
        <f>IF($D57&gt;0, D36/$D57, 0)</f>
        <v>3.0340663290891294E-2</v>
      </c>
    </row>
    <row r="37" spans="1:5">
      <c r="A37" s="14">
        <f t="shared" si="1"/>
        <v>7.25</v>
      </c>
      <c r="B37" s="4">
        <f t="shared" si="2"/>
        <v>1.6023334364710314E-2</v>
      </c>
      <c r="C37" s="4">
        <f t="shared" si="3"/>
        <v>0.12223147996278219</v>
      </c>
      <c r="D37" s="4">
        <f t="shared" si="0"/>
        <v>0.10630025812307141</v>
      </c>
      <c r="E37" s="4">
        <f>IF($D57&gt;0, D37/$D57, 0)</f>
        <v>3.2281704305933807E-2</v>
      </c>
    </row>
    <row r="38" spans="1:5">
      <c r="A38" s="14">
        <f t="shared" si="1"/>
        <v>7.5</v>
      </c>
      <c r="B38" s="4">
        <f t="shared" si="2"/>
        <v>1.0191626114770761E-2</v>
      </c>
      <c r="C38" s="4">
        <f t="shared" si="3"/>
        <v>0.12998824264147885</v>
      </c>
      <c r="D38" s="4">
        <f t="shared" si="0"/>
        <v>0.11201875016247262</v>
      </c>
      <c r="E38" s="4">
        <f>IF($D57&gt;0, D38/$D57, 0)</f>
        <v>3.4018319741787768E-2</v>
      </c>
    </row>
    <row r="39" spans="1:5">
      <c r="A39" s="14">
        <f t="shared" si="1"/>
        <v>7.75</v>
      </c>
      <c r="B39" s="4">
        <f t="shared" si="2"/>
        <v>6.4018684477542597E-3</v>
      </c>
      <c r="C39" s="4">
        <f t="shared" si="3"/>
        <v>0.13629270941038074</v>
      </c>
      <c r="D39" s="4">
        <f t="shared" si="0"/>
        <v>0.11680908326598675</v>
      </c>
      <c r="E39" s="4">
        <f>IF($D57&gt;0, D39/$D57, 0)</f>
        <v>3.5473068013382104E-2</v>
      </c>
    </row>
    <row r="40" spans="1:5">
      <c r="A40" s="14">
        <f t="shared" si="1"/>
        <v>8</v>
      </c>
      <c r="B40" s="4">
        <f t="shared" si="2"/>
        <v>3.9779411085023647E-3</v>
      </c>
      <c r="C40" s="4">
        <f t="shared" si="3"/>
        <v>0.14107314347818378</v>
      </c>
      <c r="D40" s="4">
        <f t="shared" ref="D40:D56" si="4">$B$4*B40 + $D$4*C40</f>
        <v>0.12050886312273157</v>
      </c>
      <c r="E40" s="4">
        <f>IF($D57&gt;0, D40/$D57, 0)</f>
        <v>3.6596632541270713E-2</v>
      </c>
    </row>
    <row r="41" spans="1:5">
      <c r="A41" s="14">
        <f t="shared" si="1"/>
        <v>8.25</v>
      </c>
      <c r="B41" s="4">
        <f t="shared" si="2"/>
        <v>2.4486425339823844E-3</v>
      </c>
      <c r="C41" s="4">
        <f t="shared" si="3"/>
        <v>0.14431568804954403</v>
      </c>
      <c r="D41" s="4">
        <f t="shared" si="4"/>
        <v>0.12303563122220978</v>
      </c>
      <c r="E41" s="4">
        <f>IF($D57&gt;0, D41/$D57, 0)</f>
        <v>3.736397198218331E-2</v>
      </c>
    </row>
    <row r="42" spans="1:5">
      <c r="A42" s="14">
        <f t="shared" si="1"/>
        <v>8.5</v>
      </c>
      <c r="B42" s="4">
        <f t="shared" si="2"/>
        <v>1.4950611399439768E-3</v>
      </c>
      <c r="C42" s="4">
        <f t="shared" si="3"/>
        <v>0.14605668802079796</v>
      </c>
      <c r="D42" s="4">
        <f t="shared" si="4"/>
        <v>0.12437244398866987</v>
      </c>
      <c r="E42" s="4">
        <f>IF($D57&gt;0, D42/$D57, 0)</f>
        <v>3.7769940840596601E-2</v>
      </c>
    </row>
    <row r="43" spans="1:5">
      <c r="A43" s="14">
        <f t="shared" si="1"/>
        <v>8.75</v>
      </c>
      <c r="B43" s="4">
        <f t="shared" si="2"/>
        <v>9.0645164166559562E-4</v>
      </c>
      <c r="C43" s="4">
        <f t="shared" si="3"/>
        <v>0.1463737153253197</v>
      </c>
      <c r="D43" s="4">
        <f t="shared" si="4"/>
        <v>0.12455362577277158</v>
      </c>
      <c r="E43" s="4">
        <f>IF($D57&gt;0, D43/$D57, 0)</f>
        <v>3.782496287801463E-2</v>
      </c>
    </row>
    <row r="44" spans="1:5">
      <c r="A44" s="14">
        <f t="shared" si="1"/>
        <v>9</v>
      </c>
      <c r="B44" s="4">
        <f t="shared" si="2"/>
        <v>5.4627509501199776E-4</v>
      </c>
      <c r="C44" s="4">
        <f t="shared" si="3"/>
        <v>0.14537616359521402</v>
      </c>
      <c r="D44" s="4">
        <f t="shared" si="4"/>
        <v>0.12365168032018371</v>
      </c>
      <c r="E44" s="4">
        <f>IF($D57&gt;0, D44/$D57, 0)</f>
        <v>3.755105633333989E-2</v>
      </c>
    </row>
    <row r="45" spans="1:5">
      <c r="A45" s="14">
        <f t="shared" si="1"/>
        <v>9.25</v>
      </c>
      <c r="B45" s="4">
        <f t="shared" si="2"/>
        <v>3.2752090059238282E-4</v>
      </c>
      <c r="C45" s="4">
        <f t="shared" si="3"/>
        <v>0.1431960847483528</v>
      </c>
      <c r="D45" s="4">
        <f t="shared" si="4"/>
        <v>0.12176580017118872</v>
      </c>
      <c r="E45" s="4">
        <f>IF($D57&gt;0, D45/$D57, 0)</f>
        <v>3.6978344409575772E-2</v>
      </c>
    </row>
    <row r="46" spans="1:5">
      <c r="A46" s="14">
        <f t="shared" si="1"/>
        <v>9.5</v>
      </c>
      <c r="B46" s="4">
        <f t="shared" si="2"/>
        <v>1.9550796295157247E-4</v>
      </c>
      <c r="C46" s="4">
        <f t="shared" si="3"/>
        <v>0.13997974750927458</v>
      </c>
      <c r="D46" s="4">
        <f t="shared" si="4"/>
        <v>0.11901211157732612</v>
      </c>
      <c r="E46" s="4">
        <f>IF($D57&gt;0, D46/$D57, 0)</f>
        <v>3.6142092809558234E-2</v>
      </c>
    </row>
    <row r="47" spans="1:5">
      <c r="A47" s="14">
        <f t="shared" si="1"/>
        <v>9.75</v>
      </c>
      <c r="B47" s="4">
        <f t="shared" si="2"/>
        <v>1.1627523676433616E-4</v>
      </c>
      <c r="C47" s="4">
        <f t="shared" si="3"/>
        <v>0.13588022347019896</v>
      </c>
      <c r="D47" s="4">
        <f t="shared" si="4"/>
        <v>0.11551563123518375</v>
      </c>
      <c r="E47" s="4">
        <f>IF($D57&gt;0, D47/$D57, 0)</f>
        <v>3.5080267123435538E-2</v>
      </c>
    </row>
    <row r="48" spans="1:5">
      <c r="A48" s="14">
        <f t="shared" si="1"/>
        <v>10</v>
      </c>
      <c r="B48" s="4">
        <f t="shared" si="2"/>
        <v>6.8940449602174312E-5</v>
      </c>
      <c r="C48" s="4">
        <f t="shared" si="3"/>
        <v>0.13105115970448472</v>
      </c>
      <c r="D48" s="4">
        <f t="shared" si="4"/>
        <v>0.11140382681625234</v>
      </c>
      <c r="E48" s="4">
        <f>IF($D57&gt;0, D48/$D57, 0)</f>
        <v>3.38315772636038E-2</v>
      </c>
    </row>
    <row r="49" spans="1:5">
      <c r="A49" s="14">
        <f t="shared" si="1"/>
        <v>10.25</v>
      </c>
      <c r="B49" s="4">
        <f t="shared" si="2"/>
        <v>4.0772093980805453E-5</v>
      </c>
      <c r="C49" s="4">
        <f t="shared" si="3"/>
        <v>0.12564178166704118</v>
      </c>
      <c r="D49" s="4">
        <f t="shared" si="4"/>
        <v>0.10680163023108212</v>
      </c>
      <c r="E49" s="4">
        <f>IF($D57&gt;0, D49/$D57, 0)</f>
        <v>3.2433963072034881E-2</v>
      </c>
    </row>
    <row r="50" spans="1:5">
      <c r="A50" s="14">
        <f t="shared" si="1"/>
        <v>10.5</v>
      </c>
      <c r="B50" s="4">
        <f t="shared" si="2"/>
        <v>2.4063926112892134E-5</v>
      </c>
      <c r="C50" s="4">
        <f t="shared" si="3"/>
        <v>0.11979308549650544</v>
      </c>
      <c r="D50" s="4">
        <f t="shared" si="4"/>
        <v>0.10182773226094656</v>
      </c>
      <c r="E50" s="4">
        <f>IF($D57&gt;0, D50/$D57, 0)</f>
        <v>3.0923469058615819E-2</v>
      </c>
    </row>
    <row r="51" spans="1:5">
      <c r="A51" s="14">
        <f t="shared" si="1"/>
        <v>10.75</v>
      </c>
      <c r="B51" s="4">
        <f t="shared" si="2"/>
        <v>1.4179947565500691E-5</v>
      </c>
      <c r="C51" s="4">
        <f t="shared" si="3"/>
        <v>0.1136351216834664</v>
      </c>
      <c r="D51" s="4">
        <f t="shared" si="4"/>
        <v>9.6591980423081258E-2</v>
      </c>
      <c r="E51" s="4">
        <f>IF($D57&gt;0, D51/$D57, 0)</f>
        <v>2.9333454174046755E-2</v>
      </c>
    </row>
    <row r="52" spans="1:5">
      <c r="A52" s="14">
        <f t="shared" si="1"/>
        <v>11</v>
      </c>
      <c r="B52" s="4">
        <f t="shared" si="2"/>
        <v>8.3456022267490655E-6</v>
      </c>
      <c r="C52" s="4">
        <f t="shared" si="3"/>
        <v>0.10728523792758485</v>
      </c>
      <c r="D52" s="4">
        <f t="shared" si="4"/>
        <v>9.1193704078781135E-2</v>
      </c>
      <c r="E52" s="4">
        <f>IF($D57&gt;0, D52/$D57, 0)</f>
        <v>2.7694083171704933E-2</v>
      </c>
    </row>
    <row r="53" spans="1:5">
      <c r="A53" s="14">
        <f t="shared" si="1"/>
        <v>11.25</v>
      </c>
      <c r="B53" s="4">
        <f t="shared" si="2"/>
        <v>4.9075900283923999E-6</v>
      </c>
      <c r="C53" s="4">
        <f t="shared" si="3"/>
        <v>0.10084713303681893</v>
      </c>
      <c r="D53" s="4">
        <f t="shared" si="4"/>
        <v>8.5720799219800345E-2</v>
      </c>
      <c r="E53" s="4">
        <f>IF($D57&gt;0, D53/$D57, 0)</f>
        <v>2.603204867177383E-2</v>
      </c>
    </row>
    <row r="54" spans="1:5">
      <c r="A54" s="14">
        <f t="shared" si="1"/>
        <v>11.5</v>
      </c>
      <c r="B54" s="4">
        <f t="shared" si="2"/>
        <v>2.8843194166075799E-6</v>
      </c>
      <c r="C54" s="4">
        <f t="shared" si="3"/>
        <v>9.4410571289071252E-2</v>
      </c>
      <c r="D54" s="4">
        <f t="shared" si="4"/>
        <v>8.0249418243623055E-2</v>
      </c>
      <c r="E54" s="4">
        <f>IF($D57&gt;0, D54/$D57, 0)</f>
        <v>2.4370476950907688E-2</v>
      </c>
    </row>
    <row r="55" spans="1:5">
      <c r="A55" s="14">
        <f t="shared" si="1"/>
        <v>11.75</v>
      </c>
      <c r="B55" s="4">
        <f t="shared" si="2"/>
        <v>1.6947509823895722E-6</v>
      </c>
      <c r="C55" s="4">
        <f t="shared" si="3"/>
        <v>8.8051613680039151E-2</v>
      </c>
      <c r="D55" s="4">
        <f t="shared" si="4"/>
        <v>7.4844125840680634E-2</v>
      </c>
      <c r="E55" s="4">
        <f>IF($D57&gt;0, D55/$D57, 0)</f>
        <v>2.2728975282709708E-2</v>
      </c>
    </row>
    <row r="56" spans="1:5" ht="16" thickBot="1">
      <c r="A56" s="15">
        <f t="shared" si="1"/>
        <v>12</v>
      </c>
      <c r="B56" s="12">
        <f t="shared" si="2"/>
        <v>9.9578689300368952E-7</v>
      </c>
      <c r="C56" s="12">
        <f t="shared" si="3"/>
        <v>8.1833235507211652E-2</v>
      </c>
      <c r="D56" s="12">
        <f t="shared" si="4"/>
        <v>6.955839954916386E-2</v>
      </c>
      <c r="E56" s="12">
        <f>IF($D57&gt;0, D56/$D57, 0)</f>
        <v>2.1123783948298353E-2</v>
      </c>
    </row>
    <row r="57" spans="1:5">
      <c r="A57" s="16" t="s">
        <v>22</v>
      </c>
      <c r="B57" s="11">
        <f>SUM(B8:B56)</f>
        <v>3.9999985772889288</v>
      </c>
      <c r="C57" s="11">
        <f t="shared" ref="C57:E57" si="5">SUM(C8:C56)</f>
        <v>3.1681118489537186</v>
      </c>
      <c r="D57" s="11">
        <f t="shared" si="5"/>
        <v>3.2928948582040012</v>
      </c>
      <c r="E57" s="11">
        <f t="shared" si="5"/>
        <v>0.99999999999999967</v>
      </c>
    </row>
  </sheetData>
  <mergeCells count="2">
    <mergeCell ref="A1:E1"/>
    <mergeCell ref="T1:U1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opLeftCell="A18" zoomScale="75" workbookViewId="0">
      <selection activeCell="E38" sqref="E38"/>
    </sheetView>
  </sheetViews>
  <sheetFormatPr baseColWidth="10" defaultColWidth="8.83203125" defaultRowHeight="15"/>
  <cols>
    <col min="1" max="1" width="13.33203125" customWidth="1"/>
    <col min="2" max="3" width="16" customWidth="1"/>
    <col min="4" max="4" width="11.83203125" bestFit="1" customWidth="1"/>
    <col min="5" max="5" width="13.1640625" customWidth="1"/>
    <col min="6" max="6" width="12.83203125" customWidth="1"/>
    <col min="7" max="7" width="14" customWidth="1"/>
    <col min="9" max="9" width="13.1640625" customWidth="1"/>
    <col min="20" max="20" width="5.33203125" bestFit="1" customWidth="1"/>
    <col min="21" max="21" width="54.1640625" bestFit="1" customWidth="1"/>
  </cols>
  <sheetData>
    <row r="1" spans="1:22" ht="19" thickBot="1">
      <c r="A1" s="18" t="s">
        <v>0</v>
      </c>
      <c r="B1" s="19"/>
      <c r="C1" s="19"/>
      <c r="D1" s="19"/>
      <c r="E1" s="19"/>
      <c r="J1" t="s">
        <v>17</v>
      </c>
      <c r="T1" s="20" t="s">
        <v>18</v>
      </c>
      <c r="U1" s="21"/>
      <c r="V1" s="6"/>
    </row>
    <row r="2" spans="1:22" ht="18">
      <c r="A2" t="s">
        <v>1</v>
      </c>
      <c r="B2" s="4">
        <f>LN(J2)</f>
        <v>0.40546510810816438</v>
      </c>
      <c r="C2" t="s">
        <v>2</v>
      </c>
      <c r="D2" s="5">
        <f>LN(J3)</f>
        <v>2.1972245773362196</v>
      </c>
      <c r="E2" t="s">
        <v>3</v>
      </c>
      <c r="F2" s="4">
        <v>0.25</v>
      </c>
      <c r="I2" t="s">
        <v>15</v>
      </c>
      <c r="J2">
        <v>1.5</v>
      </c>
      <c r="L2" s="3"/>
      <c r="T2" s="7">
        <v>0.2</v>
      </c>
      <c r="U2" s="8" t="s">
        <v>19</v>
      </c>
      <c r="V2" s="6"/>
    </row>
    <row r="3" spans="1:22" ht="18">
      <c r="A3" t="s">
        <v>4</v>
      </c>
      <c r="B3" s="4">
        <v>0.5</v>
      </c>
      <c r="C3" t="s">
        <v>5</v>
      </c>
      <c r="D3" s="4">
        <v>0.15</v>
      </c>
      <c r="F3" s="4"/>
      <c r="I3" t="s">
        <v>16</v>
      </c>
      <c r="J3">
        <v>9</v>
      </c>
      <c r="L3" s="3"/>
      <c r="T3" s="7">
        <v>0.5</v>
      </c>
      <c r="U3" s="8" t="s">
        <v>20</v>
      </c>
      <c r="V3" s="6"/>
    </row>
    <row r="4" spans="1:22" ht="19" thickBot="1">
      <c r="A4" t="s">
        <v>6</v>
      </c>
      <c r="B4" s="4">
        <v>0.4</v>
      </c>
      <c r="C4" t="s">
        <v>7</v>
      </c>
      <c r="D4" s="4">
        <v>0.8</v>
      </c>
      <c r="E4" t="s">
        <v>8</v>
      </c>
      <c r="F4" s="4">
        <v>12</v>
      </c>
      <c r="T4" s="9">
        <v>1</v>
      </c>
      <c r="U4" s="10" t="s">
        <v>21</v>
      </c>
      <c r="V4" s="6"/>
    </row>
    <row r="5" spans="1:22">
      <c r="A5" t="s">
        <v>9</v>
      </c>
      <c r="B5" s="4">
        <f>B4+D4</f>
        <v>1.2000000000000002</v>
      </c>
      <c r="F5" s="4"/>
    </row>
    <row r="6" spans="1:22">
      <c r="A6" s="1"/>
    </row>
    <row r="7" spans="1:22" ht="16" thickBot="1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</row>
    <row r="8" spans="1:22">
      <c r="A8" s="13">
        <v>0</v>
      </c>
      <c r="B8" s="4">
        <f>IF(A8&gt;0,_xlfn.LOGNORM.DIST(A8,$B$2,$B$3,FALSE),0)</f>
        <v>0</v>
      </c>
      <c r="C8" s="4">
        <f>IF(A8&gt;0,_xlfn.LOGNORM.DIST(A8,$C$2,$C$3,FALSE),0)</f>
        <v>0</v>
      </c>
      <c r="D8" s="4">
        <f t="shared" ref="D8:D39" si="0">$B$4*B8 + $D$4*C8</f>
        <v>0</v>
      </c>
      <c r="E8" s="4">
        <f>IF($D57&gt;0, D8/$D57, 0)</f>
        <v>0</v>
      </c>
    </row>
    <row r="9" spans="1:22">
      <c r="A9" s="14">
        <f t="shared" ref="A9:A56" si="1">A8+$F$2</f>
        <v>0.25</v>
      </c>
      <c r="B9" s="4">
        <f t="shared" ref="B9:B56" si="2">IF(A9&gt;0,_xlfn.LOGNORM.DIST(A9,$B$2,$B$3,FALSE),0)</f>
        <v>5.1937412573621489E-3</v>
      </c>
      <c r="C9" s="4">
        <f t="shared" ref="C9:C56" si="3">IF(A9&gt;0,_xlfn.LOGNORM.DIST(A9,$D$2,$D$3,FALSE),0)</f>
        <v>1.2378499685175734E-123</v>
      </c>
      <c r="D9" s="4">
        <f t="shared" si="0"/>
        <v>2.0774965029448597E-3</v>
      </c>
      <c r="E9" s="4">
        <f>IF($D57&gt;0, D9/$D57, 0)</f>
        <v>4.3966768099733586E-4</v>
      </c>
    </row>
    <row r="10" spans="1:22">
      <c r="A10" s="14">
        <f t="shared" si="1"/>
        <v>0.5</v>
      </c>
      <c r="B10" s="4">
        <f t="shared" si="2"/>
        <v>0.14276689356861955</v>
      </c>
      <c r="C10" s="4">
        <f t="shared" si="3"/>
        <v>1.2562869959490196E-80</v>
      </c>
      <c r="D10" s="4">
        <f t="shared" si="0"/>
        <v>5.7106757427447821E-2</v>
      </c>
      <c r="E10" s="4">
        <f>IF($D57&gt;0, D10/$D57, 0)</f>
        <v>1.2085698133215956E-2</v>
      </c>
    </row>
    <row r="11" spans="1:22">
      <c r="A11" s="14">
        <f t="shared" si="1"/>
        <v>0.75</v>
      </c>
      <c r="B11" s="4">
        <f t="shared" si="2"/>
        <v>0.40697020279345536</v>
      </c>
      <c r="C11" s="4">
        <f t="shared" si="3"/>
        <v>9.0616996355755523E-60</v>
      </c>
      <c r="D11" s="4">
        <f t="shared" si="0"/>
        <v>0.16278808111738216</v>
      </c>
      <c r="E11" s="4">
        <f>IF($D57&gt;0, D11/$D57, 0)</f>
        <v>3.4451397640107254E-2</v>
      </c>
    </row>
    <row r="12" spans="1:22">
      <c r="A12" s="14">
        <f t="shared" si="1"/>
        <v>1</v>
      </c>
      <c r="B12" s="4">
        <f t="shared" si="2"/>
        <v>0.5743046579828891</v>
      </c>
      <c r="C12" s="4">
        <f t="shared" si="3"/>
        <v>6.7891703710901307E-47</v>
      </c>
      <c r="D12" s="4">
        <f t="shared" si="0"/>
        <v>0.22972186319315566</v>
      </c>
      <c r="E12" s="4">
        <f>IF($D57&gt;0, D12/$D57, 0)</f>
        <v>4.8616822565694946E-2</v>
      </c>
    </row>
    <row r="13" spans="1:22">
      <c r="A13" s="14">
        <f t="shared" si="1"/>
        <v>1.25</v>
      </c>
      <c r="B13" s="4">
        <f t="shared" si="2"/>
        <v>0.59725136691195457</v>
      </c>
      <c r="C13" s="4">
        <f t="shared" si="3"/>
        <v>5.2245183158613861E-38</v>
      </c>
      <c r="D13" s="4">
        <f t="shared" si="0"/>
        <v>0.23890054676478184</v>
      </c>
      <c r="E13" s="4">
        <f>IF($D57&gt;0, D13/$D57, 0)</f>
        <v>5.0559338721474167E-2</v>
      </c>
    </row>
    <row r="14" spans="1:22">
      <c r="A14" s="14">
        <f t="shared" si="1"/>
        <v>1.5</v>
      </c>
      <c r="B14" s="4">
        <f t="shared" si="2"/>
        <v>0.53192304053524353</v>
      </c>
      <c r="C14" s="4">
        <f t="shared" si="3"/>
        <v>1.8415132612394362E-31</v>
      </c>
      <c r="D14" s="4">
        <f t="shared" si="0"/>
        <v>0.21276921621409742</v>
      </c>
      <c r="E14" s="4">
        <f>IF($D57&gt;0, D14/$D57, 0)</f>
        <v>4.5029075980570196E-2</v>
      </c>
    </row>
    <row r="15" spans="1:22">
      <c r="A15" s="14">
        <f t="shared" si="1"/>
        <v>1.75</v>
      </c>
      <c r="B15" s="4">
        <f t="shared" si="2"/>
        <v>0.43477266018883876</v>
      </c>
      <c r="C15" s="4">
        <f t="shared" si="3"/>
        <v>1.9958196382269622E-26</v>
      </c>
      <c r="D15" s="4">
        <f t="shared" si="0"/>
        <v>0.17390906407553552</v>
      </c>
      <c r="E15" s="4">
        <f>IF($D57&gt;0, D15/$D57, 0)</f>
        <v>3.6804969249345218E-2</v>
      </c>
    </row>
    <row r="16" spans="1:22">
      <c r="A16" s="14">
        <f t="shared" si="1"/>
        <v>2</v>
      </c>
      <c r="B16" s="4">
        <f t="shared" si="2"/>
        <v>0.33808413889853994</v>
      </c>
      <c r="C16" s="4">
        <f t="shared" si="3"/>
        <v>1.953671488933655E-22</v>
      </c>
      <c r="D16" s="4">
        <f t="shared" si="0"/>
        <v>0.13523365555941599</v>
      </c>
      <c r="E16" s="4">
        <f>IF($D57&gt;0, D16/$D57, 0)</f>
        <v>2.8619960441964229E-2</v>
      </c>
    </row>
    <row r="17" spans="1:5">
      <c r="A17" s="14">
        <f t="shared" si="1"/>
        <v>2.25</v>
      </c>
      <c r="B17" s="4">
        <f t="shared" si="2"/>
        <v>0.25524651465906173</v>
      </c>
      <c r="C17" s="4">
        <f t="shared" si="3"/>
        <v>3.3515852130682066E-19</v>
      </c>
      <c r="D17" s="4">
        <f t="shared" si="0"/>
        <v>0.10209860586362469</v>
      </c>
      <c r="E17" s="4">
        <f>IF($D57&gt;0, D17/$D57, 0)</f>
        <v>2.1607476695864412E-2</v>
      </c>
    </row>
    <row r="18" spans="1:5">
      <c r="A18" s="14">
        <f t="shared" si="1"/>
        <v>2.5</v>
      </c>
      <c r="B18" s="4">
        <f t="shared" si="2"/>
        <v>0.18938605649122506</v>
      </c>
      <c r="C18" s="4">
        <f t="shared" si="3"/>
        <v>1.5546003591184788E-16</v>
      </c>
      <c r="D18" s="4">
        <f t="shared" si="0"/>
        <v>7.5754422596490151E-2</v>
      </c>
      <c r="E18" s="4">
        <f>IF($D57&gt;0, D18/$D57, 0)</f>
        <v>1.6032167207539708E-2</v>
      </c>
    </row>
    <row r="19" spans="1:5">
      <c r="A19" s="14">
        <f t="shared" si="1"/>
        <v>2.75</v>
      </c>
      <c r="B19" s="4">
        <f t="shared" si="2"/>
        <v>0.13915129437199605</v>
      </c>
      <c r="C19" s="4">
        <f t="shared" si="3"/>
        <v>2.6245693018123777E-14</v>
      </c>
      <c r="D19" s="4">
        <f t="shared" si="0"/>
        <v>5.5660517748819423E-2</v>
      </c>
      <c r="E19" s="4">
        <f>IF($D57&gt;0, D19/$D57, 0)</f>
        <v>1.1779625490124842E-2</v>
      </c>
    </row>
    <row r="20" spans="1:5">
      <c r="A20" s="14">
        <f t="shared" si="1"/>
        <v>3</v>
      </c>
      <c r="B20" s="4">
        <f t="shared" si="2"/>
        <v>0.10174255069836374</v>
      </c>
      <c r="C20" s="4">
        <f t="shared" si="3"/>
        <v>1.9927234299613259E-12</v>
      </c>
      <c r="D20" s="4">
        <f t="shared" si="0"/>
        <v>4.0697020280939675E-2</v>
      </c>
      <c r="E20" s="4">
        <f>IF($D57&gt;0, D20/$D57, 0)</f>
        <v>8.6128494103641859E-3</v>
      </c>
    </row>
    <row r="21" spans="1:5">
      <c r="A21" s="14">
        <f t="shared" si="1"/>
        <v>3.25</v>
      </c>
      <c r="B21" s="4">
        <f t="shared" si="2"/>
        <v>7.4266778369590558E-2</v>
      </c>
      <c r="C21" s="4">
        <f t="shared" si="3"/>
        <v>7.946747067220062E-11</v>
      </c>
      <c r="D21" s="4">
        <f t="shared" si="0"/>
        <v>2.9706711411410201E-2</v>
      </c>
      <c r="E21" s="4">
        <f>IF($D57&gt;0, D21/$D57, 0)</f>
        <v>6.286932804843561E-3</v>
      </c>
    </row>
    <row r="22" spans="1:5">
      <c r="A22" s="14">
        <f t="shared" si="1"/>
        <v>3.5</v>
      </c>
      <c r="B22" s="4">
        <f t="shared" si="2"/>
        <v>5.4237558483465717E-2</v>
      </c>
      <c r="C22" s="4">
        <f t="shared" si="3"/>
        <v>1.8706581248462309E-9</v>
      </c>
      <c r="D22" s="4">
        <f t="shared" si="0"/>
        <v>2.169502488991279E-2</v>
      </c>
      <c r="E22" s="4">
        <f>IF($D57&gt;0, D22/$D57, 0)</f>
        <v>4.5913922208804837E-3</v>
      </c>
    </row>
    <row r="23" spans="1:5">
      <c r="A23" s="14">
        <f t="shared" si="1"/>
        <v>3.75</v>
      </c>
      <c r="B23" s="4">
        <f t="shared" si="2"/>
        <v>3.9687277713523803E-2</v>
      </c>
      <c r="C23" s="4">
        <f t="shared" si="3"/>
        <v>2.8433527718593523E-8</v>
      </c>
      <c r="D23" s="4">
        <f t="shared" si="0"/>
        <v>1.5874933832231698E-2</v>
      </c>
      <c r="E23" s="4">
        <f>IF($D57&gt;0, D23/$D57, 0)</f>
        <v>3.3596664707303786E-3</v>
      </c>
    </row>
    <row r="24" spans="1:5">
      <c r="A24" s="14">
        <f t="shared" si="1"/>
        <v>4</v>
      </c>
      <c r="B24" s="4">
        <f t="shared" si="2"/>
        <v>2.9125600161891675E-2</v>
      </c>
      <c r="C24" s="4">
        <f t="shared" si="3"/>
        <v>2.993597162835279E-7</v>
      </c>
      <c r="D24" s="4">
        <f t="shared" si="0"/>
        <v>1.1650479552529699E-2</v>
      </c>
      <c r="E24" s="4">
        <f>IF($D57&gt;0, D24/$D57, 0)</f>
        <v>2.4656307821008003E-3</v>
      </c>
    </row>
    <row r="25" spans="1:5">
      <c r="A25" s="14">
        <f t="shared" si="1"/>
        <v>4.25</v>
      </c>
      <c r="B25" s="4">
        <f t="shared" si="2"/>
        <v>2.1451457603574885E-2</v>
      </c>
      <c r="C25" s="4">
        <f t="shared" si="3"/>
        <v>2.3084688549906553E-6</v>
      </c>
      <c r="D25" s="4">
        <f t="shared" si="0"/>
        <v>8.5824298165139475E-3</v>
      </c>
      <c r="E25" s="4">
        <f>IF($D57&gt;0, D25/$D57, 0)</f>
        <v>1.8163289369682422E-3</v>
      </c>
    </row>
    <row r="26" spans="1:5">
      <c r="A26" s="14">
        <f t="shared" si="1"/>
        <v>4.5</v>
      </c>
      <c r="B26" s="4">
        <f t="shared" si="2"/>
        <v>1.5862988174291041E-2</v>
      </c>
      <c r="C26" s="4">
        <f t="shared" si="3"/>
        <v>1.3638285802887161E-5</v>
      </c>
      <c r="D26" s="4">
        <f t="shared" si="0"/>
        <v>6.3561058983587267E-3</v>
      </c>
      <c r="E26" s="4">
        <f>IF($D57&gt;0, D26/$D57, 0)</f>
        <v>1.3451644017419759E-3</v>
      </c>
    </row>
    <row r="27" spans="1:5">
      <c r="A27" s="14">
        <f t="shared" si="1"/>
        <v>4.75</v>
      </c>
      <c r="B27" s="4">
        <f t="shared" si="2"/>
        <v>1.1780895606232772E-2</v>
      </c>
      <c r="C27" s="4">
        <f t="shared" si="3"/>
        <v>6.4037983896681383E-5</v>
      </c>
      <c r="D27" s="4">
        <f t="shared" si="0"/>
        <v>4.7635886296104541E-3</v>
      </c>
      <c r="E27" s="4">
        <f>IF($D57&gt;0, D27/$D57, 0)</f>
        <v>1.008134532615237E-3</v>
      </c>
    </row>
    <row r="28" spans="1:5">
      <c r="A28" s="14">
        <f t="shared" si="1"/>
        <v>5</v>
      </c>
      <c r="B28" s="4">
        <f t="shared" si="2"/>
        <v>8.7883324762605634E-3</v>
      </c>
      <c r="C28" s="4">
        <f t="shared" si="3"/>
        <v>2.4631919686140082E-4</v>
      </c>
      <c r="D28" s="4">
        <f t="shared" si="0"/>
        <v>3.712388347993346E-3</v>
      </c>
      <c r="E28" s="4">
        <f>IF($D57&gt;0, D28/$D57, 0)</f>
        <v>7.8566542644480542E-4</v>
      </c>
    </row>
    <row r="29" spans="1:5">
      <c r="A29" s="14">
        <f t="shared" si="1"/>
        <v>5.25</v>
      </c>
      <c r="B29" s="4">
        <f t="shared" si="2"/>
        <v>6.5857336366782889E-3</v>
      </c>
      <c r="C29" s="4">
        <f t="shared" si="3"/>
        <v>7.9594137802895231E-4</v>
      </c>
      <c r="D29" s="4">
        <f t="shared" si="0"/>
        <v>3.2710465570944774E-3</v>
      </c>
      <c r="E29" s="4">
        <f>IF($D57&gt;0, D29/$D57, 0)</f>
        <v>6.9226275575118019E-4</v>
      </c>
    </row>
    <row r="30" spans="1:5">
      <c r="A30" s="14">
        <f t="shared" si="1"/>
        <v>5.5</v>
      </c>
      <c r="B30" s="4">
        <f t="shared" si="2"/>
        <v>4.9577067666963619E-3</v>
      </c>
      <c r="C30" s="4">
        <f t="shared" si="3"/>
        <v>2.2068462327538684E-3</v>
      </c>
      <c r="D30" s="4">
        <f t="shared" si="0"/>
        <v>3.7485596928816395E-3</v>
      </c>
      <c r="E30" s="4">
        <f>IF($D57&gt;0, D30/$D57, 0)</f>
        <v>7.9332049171353038E-4</v>
      </c>
    </row>
    <row r="31" spans="1:5">
      <c r="A31" s="14">
        <f t="shared" si="1"/>
        <v>5.75</v>
      </c>
      <c r="B31" s="4">
        <f t="shared" si="2"/>
        <v>3.7491079532244414E-3</v>
      </c>
      <c r="C31" s="4">
        <f t="shared" si="3"/>
        <v>5.3449688704078216E-3</v>
      </c>
      <c r="D31" s="4">
        <f t="shared" si="0"/>
        <v>5.7756182776160341E-3</v>
      </c>
      <c r="E31" s="4">
        <f>IF($D57&gt;0, D31/$D57, 0)</f>
        <v>1.222313823799812E-3</v>
      </c>
    </row>
    <row r="32" spans="1:5">
      <c r="A32" s="14">
        <f t="shared" si="1"/>
        <v>6</v>
      </c>
      <c r="B32" s="4">
        <f t="shared" si="2"/>
        <v>2.8478956290180078E-3</v>
      </c>
      <c r="C32" s="4">
        <f t="shared" si="3"/>
        <v>1.1482228683626586E-2</v>
      </c>
      <c r="D32" s="4">
        <f t="shared" si="0"/>
        <v>1.0324941198508472E-2</v>
      </c>
      <c r="E32" s="4">
        <f>IF($D57&gt;0, D32/$D57, 0)</f>
        <v>2.1851025726143235E-3</v>
      </c>
    </row>
    <row r="33" spans="1:5">
      <c r="A33" s="14">
        <f t="shared" si="1"/>
        <v>6.25</v>
      </c>
      <c r="B33" s="4">
        <f t="shared" si="2"/>
        <v>2.1728947777249572E-3</v>
      </c>
      <c r="C33" s="4">
        <f t="shared" si="3"/>
        <v>2.2166593797256447E-2</v>
      </c>
      <c r="D33" s="4">
        <f t="shared" si="0"/>
        <v>1.8602432948895142E-2</v>
      </c>
      <c r="E33" s="4">
        <f>IF($D57&gt;0, D33/$D57, 0)</f>
        <v>3.9368964250748682E-3</v>
      </c>
    </row>
    <row r="34" spans="1:5">
      <c r="A34" s="14">
        <f t="shared" si="1"/>
        <v>6.5</v>
      </c>
      <c r="B34" s="4">
        <f t="shared" si="2"/>
        <v>1.6650796344720796E-3</v>
      </c>
      <c r="C34" s="4">
        <f t="shared" si="3"/>
        <v>3.8892717682434817E-2</v>
      </c>
      <c r="D34" s="4">
        <f t="shared" si="0"/>
        <v>3.1780205999736688E-2</v>
      </c>
      <c r="E34" s="4">
        <f>IF($D57&gt;0, D34/$D57, 0)</f>
        <v>6.7257535469809207E-3</v>
      </c>
    </row>
    <row r="35" spans="1:5">
      <c r="A35" s="14">
        <f t="shared" si="1"/>
        <v>6.75</v>
      </c>
      <c r="B35" s="4">
        <f t="shared" si="2"/>
        <v>1.2813622764514369E-3</v>
      </c>
      <c r="C35" s="4">
        <f t="shared" si="3"/>
        <v>6.263106820651429E-2</v>
      </c>
      <c r="D35" s="4">
        <f t="shared" si="0"/>
        <v>5.061739947579201E-2</v>
      </c>
      <c r="E35" s="4">
        <f>IF($D57&gt;0, D35/$D57, 0)</f>
        <v>1.0712333144287328E-2</v>
      </c>
    </row>
    <row r="36" spans="1:5">
      <c r="A36" s="14">
        <f t="shared" si="1"/>
        <v>7</v>
      </c>
      <c r="B36" s="4">
        <f t="shared" si="2"/>
        <v>9.9016065516447315E-4</v>
      </c>
      <c r="C36" s="4">
        <f t="shared" si="3"/>
        <v>9.3362945764385405E-2</v>
      </c>
      <c r="D36" s="4">
        <f t="shared" si="0"/>
        <v>7.5086420873574117E-2</v>
      </c>
      <c r="E36" s="4">
        <f>IF($D57&gt;0, D36/$D57, 0)</f>
        <v>1.5890795721233763E-2</v>
      </c>
    </row>
    <row r="37" spans="1:5">
      <c r="A37" s="14">
        <f t="shared" si="1"/>
        <v>7.25</v>
      </c>
      <c r="B37" s="4">
        <f t="shared" si="2"/>
        <v>7.6822917094951826E-4</v>
      </c>
      <c r="C37" s="4">
        <f t="shared" si="3"/>
        <v>0.12979967680541932</v>
      </c>
      <c r="D37" s="4">
        <f t="shared" si="0"/>
        <v>0.10414703311271527</v>
      </c>
      <c r="E37" s="4">
        <f>IF($D57&gt;0, D37/$D57, 0)</f>
        <v>2.2040992351377072E-2</v>
      </c>
    </row>
    <row r="38" spans="1:5">
      <c r="A38" s="14">
        <f t="shared" si="1"/>
        <v>7.5</v>
      </c>
      <c r="B38" s="4">
        <f t="shared" si="2"/>
        <v>5.983856207144436E-4</v>
      </c>
      <c r="C38" s="4">
        <f t="shared" si="3"/>
        <v>0.16941333299683983</v>
      </c>
      <c r="D38" s="4">
        <f t="shared" si="0"/>
        <v>0.13577002064575766</v>
      </c>
      <c r="E38" s="4">
        <f>IF($D57&gt;0, D38/$D57, 0)</f>
        <v>2.8733473217242306E-2</v>
      </c>
    </row>
    <row r="39" spans="1:5">
      <c r="A39" s="14">
        <f t="shared" si="1"/>
        <v>7.75</v>
      </c>
      <c r="B39" s="4">
        <f t="shared" si="2"/>
        <v>4.6787562079307019E-4</v>
      </c>
      <c r="C39" s="4">
        <f t="shared" si="3"/>
        <v>0.20879664504557835</v>
      </c>
      <c r="D39" s="4">
        <f t="shared" si="0"/>
        <v>0.16722446628477991</v>
      </c>
      <c r="E39" s="4">
        <f>IF($D57&gt;0, D39/$D57, 0)</f>
        <v>3.5390284986389596E-2</v>
      </c>
    </row>
    <row r="40" spans="1:5">
      <c r="A40" s="14">
        <f t="shared" si="1"/>
        <v>8</v>
      </c>
      <c r="B40" s="4">
        <f t="shared" si="2"/>
        <v>3.6719148274302139E-4</v>
      </c>
      <c r="C40" s="4">
        <f t="shared" si="3"/>
        <v>0.24425427128754648</v>
      </c>
      <c r="D40" s="4">
        <f t="shared" ref="D40:D56" si="4">$B$4*B40 + $D$4*C40</f>
        <v>0.19555029362313439</v>
      </c>
      <c r="E40" s="4">
        <f>IF($D57&gt;0, D40/$D57, 0)</f>
        <v>4.138497657818372E-2</v>
      </c>
    </row>
    <row r="41" spans="1:5">
      <c r="A41" s="14">
        <f t="shared" si="1"/>
        <v>8.25</v>
      </c>
      <c r="B41" s="4">
        <f t="shared" si="2"/>
        <v>2.8921602174992366E-4</v>
      </c>
      <c r="C41" s="4">
        <f t="shared" si="3"/>
        <v>0.27245665477734105</v>
      </c>
      <c r="D41" s="4">
        <f t="shared" si="4"/>
        <v>0.2180810102305728</v>
      </c>
      <c r="E41" s="4">
        <f>IF($D57&gt;0, D41/$D57, 0)</f>
        <v>4.6153229091706022E-2</v>
      </c>
    </row>
    <row r="42" spans="1:5">
      <c r="A42" s="14">
        <f t="shared" si="1"/>
        <v>8.5</v>
      </c>
      <c r="B42" s="4">
        <f t="shared" si="2"/>
        <v>2.2859946227754018E-4</v>
      </c>
      <c r="C42" s="4">
        <f t="shared" si="3"/>
        <v>0.29098411976857952</v>
      </c>
      <c r="D42" s="4">
        <f t="shared" si="4"/>
        <v>0.23287873559977465</v>
      </c>
      <c r="E42" s="4">
        <f>IF($D57&gt;0, D42/$D57, 0)</f>
        <v>4.9284922255997766E-2</v>
      </c>
    </row>
    <row r="43" spans="1:5">
      <c r="A43" s="14">
        <f t="shared" si="1"/>
        <v>8.75</v>
      </c>
      <c r="B43" s="4">
        <f t="shared" si="2"/>
        <v>1.8130415937437071E-4</v>
      </c>
      <c r="C43" s="4">
        <f t="shared" si="3"/>
        <v>0.29864259152199119</v>
      </c>
      <c r="D43" s="4">
        <f t="shared" si="4"/>
        <v>0.23898659488134269</v>
      </c>
      <c r="E43" s="4">
        <f>IF($D57&gt;0, D43/$D57, 0)</f>
        <v>5.0577549378295429E-2</v>
      </c>
    </row>
    <row r="44" spans="1:5">
      <c r="A44" s="14">
        <f t="shared" si="1"/>
        <v>9</v>
      </c>
      <c r="B44" s="4">
        <f t="shared" si="2"/>
        <v>1.442705904822817E-4</v>
      </c>
      <c r="C44" s="4">
        <f t="shared" si="3"/>
        <v>0.29551280029735749</v>
      </c>
      <c r="D44" s="4">
        <f t="shared" si="4"/>
        <v>0.23646794847407893</v>
      </c>
      <c r="E44" s="4">
        <f>IF($D57&gt;0, D44/$D57, 0)</f>
        <v>5.0044519636216811E-2</v>
      </c>
    </row>
    <row r="45" spans="1:5">
      <c r="A45" s="14">
        <f t="shared" si="1"/>
        <v>9.25</v>
      </c>
      <c r="B45" s="4">
        <f t="shared" si="2"/>
        <v>1.1517132119286904E-4</v>
      </c>
      <c r="C45" s="4">
        <f t="shared" si="3"/>
        <v>0.2827691591598972</v>
      </c>
      <c r="D45" s="4">
        <f t="shared" si="4"/>
        <v>0.22626139585639493</v>
      </c>
      <c r="E45" s="4">
        <f>IF($D57&gt;0, D45/$D57, 0)</f>
        <v>4.788447204334078E-2</v>
      </c>
    </row>
    <row r="46" spans="1:5">
      <c r="A46" s="14">
        <f t="shared" si="1"/>
        <v>9.5</v>
      </c>
      <c r="B46" s="4">
        <f t="shared" si="2"/>
        <v>9.22290414358456E-5</v>
      </c>
      <c r="C46" s="4">
        <f t="shared" si="3"/>
        <v>0.26235105214627247</v>
      </c>
      <c r="D46" s="4">
        <f t="shared" si="4"/>
        <v>0.20991773333359232</v>
      </c>
      <c r="E46" s="4">
        <f>IF($D57&gt;0, D46/$D57, 0)</f>
        <v>4.4425606918794089E-2</v>
      </c>
    </row>
    <row r="47" spans="1:5">
      <c r="A47" s="14">
        <f t="shared" si="1"/>
        <v>9.75</v>
      </c>
      <c r="B47" s="4">
        <f t="shared" si="2"/>
        <v>7.4081448357038248E-5</v>
      </c>
      <c r="C47" s="4">
        <f t="shared" si="3"/>
        <v>0.23658210942192109</v>
      </c>
      <c r="D47" s="4">
        <f t="shared" si="4"/>
        <v>0.18929532011687972</v>
      </c>
      <c r="E47" s="4">
        <f>IF($D57&gt;0, D47/$D57, 0)</f>
        <v>4.0061215170019392E-2</v>
      </c>
    </row>
    <row r="48" spans="1:5">
      <c r="A48" s="14">
        <f t="shared" si="1"/>
        <v>10</v>
      </c>
      <c r="B48" s="4">
        <f t="shared" si="2"/>
        <v>5.9680518163296814E-5</v>
      </c>
      <c r="C48" s="4">
        <f t="shared" si="3"/>
        <v>0.20781875777736386</v>
      </c>
      <c r="D48" s="4">
        <f t="shared" si="4"/>
        <v>0.16627887842915642</v>
      </c>
      <c r="E48" s="4">
        <f>IF($D57&gt;0, D48/$D57, 0)</f>
        <v>3.5190166998671252E-2</v>
      </c>
    </row>
    <row r="49" spans="1:5">
      <c r="A49" s="14">
        <f t="shared" si="1"/>
        <v>10.25</v>
      </c>
      <c r="B49" s="4">
        <f t="shared" si="2"/>
        <v>4.8217121706095766E-5</v>
      </c>
      <c r="C49" s="4">
        <f t="shared" si="3"/>
        <v>0.17818038634711206</v>
      </c>
      <c r="D49" s="4">
        <f t="shared" si="4"/>
        <v>0.14256359592637208</v>
      </c>
      <c r="E49" s="4">
        <f>IF($D57&gt;0, D49/$D57, 0)</f>
        <v>3.0171220758609816E-2</v>
      </c>
    </row>
    <row r="50" spans="1:5">
      <c r="A50" s="14">
        <f t="shared" si="1"/>
        <v>10.5</v>
      </c>
      <c r="B50" s="4">
        <f t="shared" si="2"/>
        <v>3.9064390837422251E-5</v>
      </c>
      <c r="C50" s="4">
        <f t="shared" si="3"/>
        <v>0.14938209612976072</v>
      </c>
      <c r="D50" s="4">
        <f t="shared" si="4"/>
        <v>0.11952130266014356</v>
      </c>
      <c r="E50" s="4">
        <f>IF($D57&gt;0, D50/$D57, 0)</f>
        <v>2.5294701529401702E-2</v>
      </c>
    </row>
    <row r="51" spans="1:5">
      <c r="A51" s="14">
        <f t="shared" si="1"/>
        <v>10.75</v>
      </c>
      <c r="B51" s="4">
        <f t="shared" si="2"/>
        <v>3.173501136387682E-5</v>
      </c>
      <c r="C51" s="4">
        <f t="shared" si="3"/>
        <v>0.12266561433296017</v>
      </c>
      <c r="D51" s="4">
        <f t="shared" si="4"/>
        <v>9.8145185470913693E-2</v>
      </c>
      <c r="E51" s="4">
        <f>IF($D57&gt;0, D51/$D57, 0)</f>
        <v>2.0770800834505835E-2</v>
      </c>
    </row>
    <row r="52" spans="1:5">
      <c r="A52" s="14">
        <f t="shared" si="1"/>
        <v>11</v>
      </c>
      <c r="B52" s="4">
        <f t="shared" si="2"/>
        <v>2.584889905208865E-5</v>
      </c>
      <c r="C52" s="4">
        <f t="shared" si="3"/>
        <v>9.8808223516142574E-2</v>
      </c>
      <c r="D52" s="4">
        <f t="shared" si="4"/>
        <v>7.9056918372534896E-2</v>
      </c>
      <c r="E52" s="4">
        <f>IF($D57&gt;0, D52/$D57, 0)</f>
        <v>1.6731085668918042E-2</v>
      </c>
    </row>
    <row r="53" spans="1:5">
      <c r="A53" s="14">
        <f t="shared" si="1"/>
        <v>11.25</v>
      </c>
      <c r="B53" s="4">
        <f t="shared" si="2"/>
        <v>2.1108645845974051E-5</v>
      </c>
      <c r="C53" s="4">
        <f t="shared" si="3"/>
        <v>7.8183333807085753E-2</v>
      </c>
      <c r="D53" s="4">
        <f t="shared" si="4"/>
        <v>6.2555110504007E-2</v>
      </c>
      <c r="E53" s="4">
        <f>IF($D57&gt;0, D53/$D57, 0)</f>
        <v>1.3238751704680406E-2</v>
      </c>
    </row>
    <row r="54" spans="1:5">
      <c r="A54" s="14">
        <f t="shared" si="1"/>
        <v>11.5</v>
      </c>
      <c r="B54" s="4">
        <f t="shared" si="2"/>
        <v>1.7280802421808948E-5</v>
      </c>
      <c r="C54" s="4">
        <f t="shared" si="3"/>
        <v>6.0847275308338215E-2</v>
      </c>
      <c r="D54" s="4">
        <f t="shared" si="4"/>
        <v>4.8684732567639298E-2</v>
      </c>
      <c r="E54" s="4">
        <f>IF($D57&gt;0, D54/$D57, 0)</f>
        <v>1.0303316245128509E-2</v>
      </c>
    </row>
    <row r="55" spans="1:5">
      <c r="A55" s="14">
        <f t="shared" si="1"/>
        <v>11.75</v>
      </c>
      <c r="B55" s="4">
        <f t="shared" si="2"/>
        <v>1.4181560392639594E-5</v>
      </c>
      <c r="C55" s="4">
        <f t="shared" si="3"/>
        <v>4.6631997876958368E-2</v>
      </c>
      <c r="D55" s="4">
        <f t="shared" si="4"/>
        <v>3.7311270925723755E-2</v>
      </c>
      <c r="E55" s="4">
        <f>IF($D57&gt;0, D55/$D57, 0)</f>
        <v>7.8963117096576361E-3</v>
      </c>
    </row>
    <row r="56" spans="1:5" ht="16" thickBot="1">
      <c r="A56" s="15">
        <f t="shared" si="1"/>
        <v>12</v>
      </c>
      <c r="B56" s="12">
        <f t="shared" si="2"/>
        <v>1.1665762910470333E-5</v>
      </c>
      <c r="C56" s="12">
        <f t="shared" si="3"/>
        <v>3.5229975866164366E-2</v>
      </c>
      <c r="D56" s="12">
        <f t="shared" si="4"/>
        <v>2.8188646998095684E-2</v>
      </c>
      <c r="E56" s="12">
        <f>IF($D57&gt;0, D56/$D57, 0)</f>
        <v>5.965659647819966E-3</v>
      </c>
    </row>
    <row r="57" spans="1:5">
      <c r="A57" s="16" t="s">
        <v>22</v>
      </c>
      <c r="B57" s="11">
        <f>SUM(B8:B56)</f>
        <v>3.9998392849285755</v>
      </c>
      <c r="C57" s="11">
        <f t="shared" ref="C57:E57" si="5">SUM(C8:C56)</f>
        <v>3.9065200184868432</v>
      </c>
      <c r="D57" s="11">
        <f t="shared" si="5"/>
        <v>4.7251517287609053</v>
      </c>
      <c r="E57" s="11">
        <f t="shared" si="5"/>
        <v>0.99999999999999978</v>
      </c>
    </row>
  </sheetData>
  <mergeCells count="2">
    <mergeCell ref="A1:E1"/>
    <mergeCell ref="T1:U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05A7-1200-704D-BD58-ED0B54F8CF34}">
  <dimension ref="A1:V57"/>
  <sheetViews>
    <sheetView topLeftCell="A26" zoomScale="97" workbookViewId="0">
      <selection activeCell="E48" sqref="E48"/>
    </sheetView>
  </sheetViews>
  <sheetFormatPr baseColWidth="10" defaultColWidth="8.83203125" defaultRowHeight="15"/>
  <cols>
    <col min="1" max="1" width="13.33203125" customWidth="1"/>
    <col min="2" max="3" width="16" customWidth="1"/>
    <col min="4" max="4" width="11.83203125" bestFit="1" customWidth="1"/>
    <col min="5" max="5" width="13.1640625" customWidth="1"/>
    <col min="6" max="6" width="12.83203125" customWidth="1"/>
    <col min="7" max="7" width="14" customWidth="1"/>
    <col min="9" max="9" width="13.1640625" customWidth="1"/>
    <col min="20" max="20" width="5.33203125" bestFit="1" customWidth="1"/>
    <col min="21" max="21" width="54.1640625" bestFit="1" customWidth="1"/>
  </cols>
  <sheetData>
    <row r="1" spans="1:22" ht="19" thickBot="1">
      <c r="A1" s="18" t="s">
        <v>0</v>
      </c>
      <c r="B1" s="19"/>
      <c r="C1" s="19"/>
      <c r="D1" s="19"/>
      <c r="E1" s="19"/>
      <c r="J1" t="s">
        <v>17</v>
      </c>
      <c r="K1" t="s">
        <v>25</v>
      </c>
      <c r="T1" s="20" t="s">
        <v>18</v>
      </c>
      <c r="U1" s="21"/>
      <c r="V1" s="6"/>
    </row>
    <row r="2" spans="1:22" ht="18">
      <c r="A2" t="s">
        <v>1</v>
      </c>
      <c r="B2" s="4">
        <f>LN(J2)</f>
        <v>-1.098712293668443</v>
      </c>
      <c r="C2" t="s">
        <v>26</v>
      </c>
      <c r="D2" s="5">
        <f>LN(J3)</f>
        <v>-0.69314718055994529</v>
      </c>
      <c r="E2" t="s">
        <v>3</v>
      </c>
      <c r="F2" s="4">
        <v>0.25</v>
      </c>
      <c r="I2" t="s">
        <v>15</v>
      </c>
      <c r="J2">
        <v>0.33329999999999999</v>
      </c>
      <c r="K2" s="17">
        <f>J2*60</f>
        <v>19.997999999999998</v>
      </c>
      <c r="L2" s="3"/>
      <c r="T2" s="7">
        <v>0.2</v>
      </c>
      <c r="U2" s="8" t="s">
        <v>19</v>
      </c>
      <c r="V2" s="6"/>
    </row>
    <row r="3" spans="1:22" ht="18">
      <c r="A3" t="s">
        <v>4</v>
      </c>
      <c r="B3" s="4">
        <v>0.3</v>
      </c>
      <c r="C3" t="s">
        <v>28</v>
      </c>
      <c r="D3" s="4">
        <v>0.7</v>
      </c>
      <c r="F3" s="4"/>
      <c r="I3" t="s">
        <v>29</v>
      </c>
      <c r="J3">
        <v>0.5</v>
      </c>
      <c r="K3" s="4">
        <f>J3*60</f>
        <v>30</v>
      </c>
      <c r="L3" s="3"/>
      <c r="T3" s="7">
        <v>0.5</v>
      </c>
      <c r="U3" s="8" t="s">
        <v>20</v>
      </c>
      <c r="V3" s="6"/>
    </row>
    <row r="4" spans="1:22" ht="19" thickBot="1">
      <c r="A4" t="s">
        <v>6</v>
      </c>
      <c r="B4" s="4">
        <v>0.7</v>
      </c>
      <c r="C4" t="s">
        <v>7</v>
      </c>
      <c r="D4" s="4">
        <v>0.3</v>
      </c>
      <c r="E4" t="s">
        <v>8</v>
      </c>
      <c r="F4" s="4">
        <v>12</v>
      </c>
      <c r="T4" s="9">
        <v>1</v>
      </c>
      <c r="U4" s="10" t="s">
        <v>21</v>
      </c>
      <c r="V4" s="6"/>
    </row>
    <row r="5" spans="1:22">
      <c r="A5" t="s">
        <v>9</v>
      </c>
      <c r="B5" s="4">
        <f>B4+D4</f>
        <v>1</v>
      </c>
      <c r="F5" s="4"/>
    </row>
    <row r="6" spans="1:22">
      <c r="A6" s="1"/>
    </row>
    <row r="7" spans="1:22" ht="16" thickBot="1">
      <c r="A7" s="2" t="s">
        <v>10</v>
      </c>
      <c r="B7" s="2" t="s">
        <v>24</v>
      </c>
      <c r="C7" s="2" t="s">
        <v>23</v>
      </c>
      <c r="D7" s="2" t="s">
        <v>13</v>
      </c>
      <c r="E7" s="2" t="s">
        <v>14</v>
      </c>
    </row>
    <row r="8" spans="1:22">
      <c r="A8" s="13">
        <v>0</v>
      </c>
      <c r="B8" s="4">
        <f>IF(A8&gt;0,_xlfn.LOGNORM.DIST(A8,$B$2,$B$3,FALSE),0)</f>
        <v>0</v>
      </c>
      <c r="C8" s="4">
        <f>IF(A8&gt;0,_xlfn.LOGNORM.DIST(A8,$D$2,$D$3,FALSE),0)</f>
        <v>0</v>
      </c>
      <c r="D8" s="4">
        <f t="shared" ref="D8:D39" si="0">$B$4*B8 + $D$4*C8</f>
        <v>0</v>
      </c>
      <c r="E8" s="4">
        <f>IF($D57&gt;0, D8/$D57, 0)</f>
        <v>0</v>
      </c>
    </row>
    <row r="9" spans="1:22">
      <c r="A9" s="14">
        <f t="shared" ref="A9:A56" si="1">A8+$F$2</f>
        <v>0.25</v>
      </c>
      <c r="B9" s="4">
        <f t="shared" ref="B9:B56" si="2">IF(A9&gt;0,_xlfn.LOGNORM.DIST(A9,$B$2,$B$3,FALSE),0)</f>
        <v>3.3597448917588308</v>
      </c>
      <c r="C9" s="4">
        <f t="shared" ref="C9:C56" si="3">IF(A9&gt;0,_xlfn.LOGNORM.DIST(A9,$D$2,$D$3,FALSE),0)</f>
        <v>1.3962255979312184</v>
      </c>
      <c r="D9" s="4">
        <f t="shared" si="0"/>
        <v>2.7706891036105468</v>
      </c>
      <c r="E9" s="4">
        <f>IF($D57&gt;0, D9/$D57, 0)</f>
        <v>0.63898327058521653</v>
      </c>
    </row>
    <row r="10" spans="1:22">
      <c r="A10" s="14">
        <f t="shared" si="1"/>
        <v>0.5</v>
      </c>
      <c r="B10" s="4">
        <f t="shared" si="2"/>
        <v>1.066504702828865</v>
      </c>
      <c r="C10" s="4">
        <f t="shared" si="3"/>
        <v>1.1398350868612361</v>
      </c>
      <c r="D10" s="4">
        <f t="shared" si="0"/>
        <v>1.0885038180385762</v>
      </c>
      <c r="E10" s="4">
        <f>IF($D57&gt;0, D10/$D57, 0)</f>
        <v>0.25103348072810361</v>
      </c>
    </row>
    <row r="11" spans="1:22">
      <c r="A11" s="14">
        <f t="shared" si="1"/>
        <v>0.75</v>
      </c>
      <c r="B11" s="4">
        <f t="shared" si="2"/>
        <v>4.5887545261681366E-2</v>
      </c>
      <c r="C11" s="4">
        <f t="shared" si="3"/>
        <v>0.64253202915940688</v>
      </c>
      <c r="D11" s="4">
        <f t="shared" si="0"/>
        <v>0.22488089043099901</v>
      </c>
      <c r="E11" s="4">
        <f>IF($D57&gt;0, D11/$D57, 0)</f>
        <v>5.1862595002977116E-2</v>
      </c>
    </row>
    <row r="12" spans="1:22">
      <c r="A12" s="14">
        <f t="shared" si="1"/>
        <v>1</v>
      </c>
      <c r="B12" s="4">
        <f t="shared" si="2"/>
        <v>1.6262825217873364E-3</v>
      </c>
      <c r="C12" s="4">
        <f t="shared" si="3"/>
        <v>0.34905639948280459</v>
      </c>
      <c r="D12" s="4">
        <f t="shared" si="0"/>
        <v>0.10585531761009251</v>
      </c>
      <c r="E12" s="4">
        <f>IF($D57&gt;0, D12/$D57, 0)</f>
        <v>2.4412618856150581E-2</v>
      </c>
    </row>
    <row r="13" spans="1:22">
      <c r="A13" s="14">
        <f t="shared" si="1"/>
        <v>1.25</v>
      </c>
      <c r="B13" s="4">
        <f t="shared" si="2"/>
        <v>6.4726007009907754E-5</v>
      </c>
      <c r="C13" s="4">
        <f t="shared" si="3"/>
        <v>0.19356724465755196</v>
      </c>
      <c r="D13" s="4">
        <f t="shared" si="0"/>
        <v>5.8115481602172517E-2</v>
      </c>
      <c r="E13" s="4">
        <f>IF($D57&gt;0, D13/$D57, 0)</f>
        <v>1.3402738133773278E-2</v>
      </c>
    </row>
    <row r="14" spans="1:22">
      <c r="A14" s="14">
        <f t="shared" si="1"/>
        <v>1.5</v>
      </c>
      <c r="B14" s="4">
        <f t="shared" si="2"/>
        <v>3.0813241079477404E-6</v>
      </c>
      <c r="C14" s="4">
        <f t="shared" si="3"/>
        <v>0.11087971990735083</v>
      </c>
      <c r="D14" s="4">
        <f t="shared" si="0"/>
        <v>3.3266072899080817E-2</v>
      </c>
      <c r="E14" s="4">
        <f>IF($D57&gt;0, D14/$D57, 0)</f>
        <v>7.6719051707682126E-3</v>
      </c>
    </row>
    <row r="15" spans="1:22">
      <c r="A15" s="14">
        <f t="shared" si="1"/>
        <v>1.75</v>
      </c>
      <c r="B15" s="4">
        <f t="shared" si="2"/>
        <v>1.7602349979901769E-7</v>
      </c>
      <c r="C15" s="4">
        <f t="shared" si="3"/>
        <v>6.565619549377584E-2</v>
      </c>
      <c r="D15" s="4">
        <f t="shared" si="0"/>
        <v>1.9696981864582609E-2</v>
      </c>
      <c r="E15" s="4">
        <f>IF($D57&gt;0, D15/$D57, 0)</f>
        <v>4.5425673620643836E-3</v>
      </c>
    </row>
    <row r="16" spans="1:22">
      <c r="A16" s="14">
        <f t="shared" si="1"/>
        <v>2</v>
      </c>
      <c r="B16" s="4">
        <f t="shared" si="2"/>
        <v>1.1912583596453829E-8</v>
      </c>
      <c r="C16" s="4">
        <f t="shared" si="3"/>
        <v>4.0097412228939901E-2</v>
      </c>
      <c r="D16" s="4">
        <f t="shared" si="0"/>
        <v>1.2029232007490486E-2</v>
      </c>
      <c r="E16" s="4">
        <f>IF($D57&gt;0, D16/$D57, 0)</f>
        <v>2.7742116575830253E-3</v>
      </c>
    </row>
    <row r="17" spans="1:5">
      <c r="A17" s="14">
        <f t="shared" si="1"/>
        <v>2.25</v>
      </c>
      <c r="B17" s="4">
        <f t="shared" si="2"/>
        <v>9.3963262394690003E-10</v>
      </c>
      <c r="C17" s="4">
        <f t="shared" si="3"/>
        <v>2.5182374238872322E-2</v>
      </c>
      <c r="D17" s="4">
        <f t="shared" si="0"/>
        <v>7.5547129294045333E-3</v>
      </c>
      <c r="E17" s="4">
        <f>IF($D57&gt;0, D17/$D57, 0)</f>
        <v>1.7422868446960442E-3</v>
      </c>
    </row>
    <row r="18" spans="1:5">
      <c r="A18" s="14">
        <f t="shared" si="1"/>
        <v>2.5</v>
      </c>
      <c r="B18" s="4">
        <f t="shared" si="2"/>
        <v>8.5020411336387335E-11</v>
      </c>
      <c r="C18" s="4">
        <f t="shared" si="3"/>
        <v>1.6216795989147447E-2</v>
      </c>
      <c r="D18" s="4">
        <f t="shared" si="0"/>
        <v>4.8650388562585219E-3</v>
      </c>
      <c r="E18" s="4">
        <f>IF($D57&gt;0, D18/$D57, 0)</f>
        <v>1.1219874636404508E-3</v>
      </c>
    </row>
    <row r="19" spans="1:5">
      <c r="A19" s="14">
        <f t="shared" si="1"/>
        <v>2.75</v>
      </c>
      <c r="B19" s="4">
        <f t="shared" si="2"/>
        <v>8.6991221314663756E-12</v>
      </c>
      <c r="C19" s="4">
        <f t="shared" si="3"/>
        <v>1.0680452575951214E-2</v>
      </c>
      <c r="D19" s="4">
        <f t="shared" si="0"/>
        <v>3.2041357788747497E-3</v>
      </c>
      <c r="E19" s="4">
        <f>IF($D57&gt;0, D19/$D57, 0)</f>
        <v>7.3894583001625816E-4</v>
      </c>
    </row>
    <row r="20" spans="1:5">
      <c r="A20" s="14">
        <f t="shared" si="1"/>
        <v>3</v>
      </c>
      <c r="B20" s="4">
        <f t="shared" si="2"/>
        <v>9.9393202700909967E-13</v>
      </c>
      <c r="C20" s="4">
        <f t="shared" si="3"/>
        <v>7.1775564469083071E-3</v>
      </c>
      <c r="D20" s="4">
        <f t="shared" si="0"/>
        <v>2.1532669347682446E-3</v>
      </c>
      <c r="E20" s="4">
        <f>IF($D57&gt;0, D20/$D57, 0)</f>
        <v>4.9659182137333599E-4</v>
      </c>
    </row>
    <row r="21" spans="1:5">
      <c r="A21" s="14">
        <f t="shared" si="1"/>
        <v>3.25</v>
      </c>
      <c r="B21" s="4">
        <f t="shared" si="2"/>
        <v>1.2543810917906441E-13</v>
      </c>
      <c r="C21" s="4">
        <f t="shared" si="3"/>
        <v>4.9120451255762936E-3</v>
      </c>
      <c r="D21" s="4">
        <f t="shared" si="0"/>
        <v>1.4736135377606948E-3</v>
      </c>
      <c r="E21" s="4">
        <f>IF($D57&gt;0, D21/$D57, 0)</f>
        <v>3.3984845023208904E-4</v>
      </c>
    </row>
    <row r="22" spans="1:5">
      <c r="A22" s="14">
        <f t="shared" si="1"/>
        <v>3.5</v>
      </c>
      <c r="B22" s="4">
        <f t="shared" si="2"/>
        <v>1.7321687283427921E-14</v>
      </c>
      <c r="C22" s="4">
        <f t="shared" si="3"/>
        <v>3.4174188694303421E-3</v>
      </c>
      <c r="D22" s="4">
        <f t="shared" si="0"/>
        <v>1.0252256608412279E-3</v>
      </c>
      <c r="E22" s="4">
        <f>IF($D57&gt;0, D22/$D57, 0)</f>
        <v>2.3644011339942102E-4</v>
      </c>
    </row>
    <row r="23" spans="1:5">
      <c r="A23" s="14">
        <f t="shared" si="1"/>
        <v>3.75</v>
      </c>
      <c r="B23" s="4">
        <f t="shared" si="2"/>
        <v>2.5958407673772208E-15</v>
      </c>
      <c r="C23" s="4">
        <f t="shared" si="3"/>
        <v>2.4134274334329069E-3</v>
      </c>
      <c r="D23" s="4">
        <f t="shared" si="0"/>
        <v>7.2402823003168916E-4</v>
      </c>
      <c r="E23" s="4">
        <f>IF($D57&gt;0, D23/$D57, 0)</f>
        <v>1.6697720643532154E-4</v>
      </c>
    </row>
    <row r="24" spans="1:5">
      <c r="A24" s="14">
        <f t="shared" si="1"/>
        <v>4</v>
      </c>
      <c r="B24" s="4">
        <f t="shared" si="2"/>
        <v>4.1917239616367399E-16</v>
      </c>
      <c r="C24" s="4">
        <f t="shared" si="3"/>
        <v>1.7278428645641566E-3</v>
      </c>
      <c r="D24" s="4">
        <f t="shared" si="0"/>
        <v>5.183528593695404E-4</v>
      </c>
      <c r="E24" s="4">
        <f>IF($D57&gt;0, D24/$D57, 0)</f>
        <v>1.195438365731937E-4</v>
      </c>
    </row>
    <row r="25" spans="1:5">
      <c r="A25" s="14">
        <f t="shared" si="1"/>
        <v>4.25</v>
      </c>
      <c r="B25" s="4">
        <f t="shared" si="2"/>
        <v>7.2480780224550333E-17</v>
      </c>
      <c r="C25" s="4">
        <f t="shared" si="3"/>
        <v>1.2526014126468194E-3</v>
      </c>
      <c r="D25" s="4">
        <f t="shared" si="0"/>
        <v>3.7578042379409653E-4</v>
      </c>
      <c r="E25" s="4">
        <f>IF($D57&gt;0, D25/$D57, 0)</f>
        <v>8.6663423877095485E-5</v>
      </c>
    </row>
    <row r="26" spans="1:5">
      <c r="A26" s="14">
        <f t="shared" si="1"/>
        <v>4.5</v>
      </c>
      <c r="B26" s="4">
        <f t="shared" si="2"/>
        <v>1.3347094223400202E-17</v>
      </c>
      <c r="C26" s="4">
        <f t="shared" si="3"/>
        <v>9.1859679500965602E-4</v>
      </c>
      <c r="D26" s="4">
        <f t="shared" si="0"/>
        <v>2.7557903850290613E-4</v>
      </c>
      <c r="E26" s="4">
        <f>IF($D57&gt;0, D26/$D57, 0)</f>
        <v>6.3554729073662196E-5</v>
      </c>
    </row>
    <row r="27" spans="1:5">
      <c r="A27" s="14">
        <f t="shared" si="1"/>
        <v>4.75</v>
      </c>
      <c r="B27" s="4">
        <f t="shared" si="2"/>
        <v>2.6048452674431788E-18</v>
      </c>
      <c r="C27" s="4">
        <f t="shared" si="3"/>
        <v>6.8085720033716915E-4</v>
      </c>
      <c r="D27" s="4">
        <f t="shared" si="0"/>
        <v>2.0425716010115256E-4</v>
      </c>
      <c r="E27" s="4">
        <f>IF($D57&gt;0, D27/$D57, 0)</f>
        <v>4.7106298585360287E-5</v>
      </c>
    </row>
    <row r="28" spans="1:5">
      <c r="A28" s="14">
        <f t="shared" si="1"/>
        <v>5</v>
      </c>
      <c r="B28" s="4">
        <f t="shared" si="2"/>
        <v>5.3646863383401012E-19</v>
      </c>
      <c r="C28" s="4">
        <f t="shared" si="3"/>
        <v>5.0964221664220692E-4</v>
      </c>
      <c r="D28" s="4">
        <f t="shared" si="0"/>
        <v>1.5289266499266246E-4</v>
      </c>
      <c r="E28" s="4">
        <f>IF($D57&gt;0, D28/$D57, 0)</f>
        <v>3.5260489889750407E-5</v>
      </c>
    </row>
    <row r="29" spans="1:5">
      <c r="A29" s="14">
        <f t="shared" si="1"/>
        <v>5.25</v>
      </c>
      <c r="B29" s="4">
        <f t="shared" si="2"/>
        <v>1.1614852789606243E-19</v>
      </c>
      <c r="C29" s="4">
        <f t="shared" si="3"/>
        <v>3.8498996131491154E-4</v>
      </c>
      <c r="D29" s="4">
        <f t="shared" si="0"/>
        <v>1.1549698839447353E-4</v>
      </c>
      <c r="E29" s="4">
        <f>IF($D57&gt;0, D29/$D57, 0)</f>
        <v>2.6636205155920322E-5</v>
      </c>
    </row>
    <row r="30" spans="1:5">
      <c r="A30" s="14">
        <f t="shared" si="1"/>
        <v>5.5</v>
      </c>
      <c r="B30" s="4">
        <f t="shared" si="2"/>
        <v>2.6345424115218848E-20</v>
      </c>
      <c r="C30" s="4">
        <f t="shared" si="3"/>
        <v>2.9331649205171118E-4</v>
      </c>
      <c r="D30" s="4">
        <f t="shared" si="0"/>
        <v>8.7994947615513359E-5</v>
      </c>
      <c r="E30" s="4">
        <f>IF($D57&gt;0, D30/$D57, 0)</f>
        <v>2.0293615530181455E-5</v>
      </c>
    </row>
    <row r="31" spans="1:5">
      <c r="A31" s="14">
        <f t="shared" si="1"/>
        <v>5.75</v>
      </c>
      <c r="B31" s="4">
        <f t="shared" si="2"/>
        <v>6.2414495185067541E-21</v>
      </c>
      <c r="C31" s="4">
        <f t="shared" si="3"/>
        <v>2.2525929793173257E-4</v>
      </c>
      <c r="D31" s="4">
        <f t="shared" si="0"/>
        <v>6.7577789379519765E-5</v>
      </c>
      <c r="E31" s="4">
        <f>IF($D57&gt;0, D31/$D57, 0)</f>
        <v>1.5584959286978183E-5</v>
      </c>
    </row>
    <row r="32" spans="1:5">
      <c r="A32" s="14">
        <f t="shared" si="1"/>
        <v>6</v>
      </c>
      <c r="B32" s="4">
        <f t="shared" si="2"/>
        <v>1.540113526137133E-21</v>
      </c>
      <c r="C32" s="4">
        <f t="shared" si="3"/>
        <v>1.7428831479410507E-4</v>
      </c>
      <c r="D32" s="4">
        <f t="shared" si="0"/>
        <v>5.2286494438231521E-5</v>
      </c>
      <c r="E32" s="4">
        <f>IF($D57&gt;0, D32/$D57, 0)</f>
        <v>1.2058442493616242E-5</v>
      </c>
    </row>
    <row r="33" spans="1:5">
      <c r="A33" s="14">
        <f t="shared" si="1"/>
        <v>6.25</v>
      </c>
      <c r="B33" s="4">
        <f t="shared" si="2"/>
        <v>3.9483891040111641E-22</v>
      </c>
      <c r="C33" s="4">
        <f t="shared" si="3"/>
        <v>1.3579826223529158E-4</v>
      </c>
      <c r="D33" s="4">
        <f t="shared" si="0"/>
        <v>4.0739478670587472E-5</v>
      </c>
      <c r="E33" s="4">
        <f>IF($D57&gt;0, D33/$D57, 0)</f>
        <v>9.3954407547732353E-6</v>
      </c>
    </row>
    <row r="34" spans="1:5">
      <c r="A34" s="14">
        <f t="shared" si="1"/>
        <v>6.5</v>
      </c>
      <c r="B34" s="4">
        <f t="shared" si="2"/>
        <v>1.0493019576300101E-22</v>
      </c>
      <c r="C34" s="4">
        <f t="shared" si="3"/>
        <v>1.0650745571434486E-4</v>
      </c>
      <c r="D34" s="4">
        <f t="shared" si="0"/>
        <v>3.1952236714303454E-5</v>
      </c>
      <c r="E34" s="4">
        <f>IF($D57&gt;0, D34/$D57, 0)</f>
        <v>7.3689049744386262E-6</v>
      </c>
    </row>
    <row r="35" spans="1:5">
      <c r="A35" s="14">
        <f t="shared" si="1"/>
        <v>6.75</v>
      </c>
      <c r="B35" s="4">
        <f t="shared" si="2"/>
        <v>2.884669652896182E-23</v>
      </c>
      <c r="C35" s="4">
        <f t="shared" si="3"/>
        <v>8.4054558820796703E-5</v>
      </c>
      <c r="D35" s="4">
        <f t="shared" si="0"/>
        <v>2.5216367646239011E-5</v>
      </c>
      <c r="E35" s="4">
        <f>IF($D57&gt;0, D35/$D57, 0)</f>
        <v>5.8154619548891452E-6</v>
      </c>
    </row>
    <row r="36" spans="1:5">
      <c r="A36" s="14">
        <f t="shared" si="1"/>
        <v>7</v>
      </c>
      <c r="B36" s="4">
        <f t="shared" si="2"/>
        <v>8.1881630686072539E-24</v>
      </c>
      <c r="C36" s="4">
        <f t="shared" si="3"/>
        <v>6.672489057581247E-5</v>
      </c>
      <c r="D36" s="4">
        <f t="shared" si="0"/>
        <v>2.0017467172743739E-5</v>
      </c>
      <c r="E36" s="4">
        <f>IF($D57&gt;0, D36/$D57, 0)</f>
        <v>4.6164784876816355E-6</v>
      </c>
    </row>
    <row r="37" spans="1:5">
      <c r="A37" s="14">
        <f t="shared" si="1"/>
        <v>7.25</v>
      </c>
      <c r="B37" s="4">
        <f t="shared" si="2"/>
        <v>2.3956342991021631E-24</v>
      </c>
      <c r="C37" s="4">
        <f t="shared" si="3"/>
        <v>5.3262593598375395E-5</v>
      </c>
      <c r="D37" s="4">
        <f t="shared" si="0"/>
        <v>1.5978778079512619E-5</v>
      </c>
      <c r="E37" s="4">
        <f>IF($D57&gt;0, D37/$D57, 0)</f>
        <v>3.685065879061363E-6</v>
      </c>
    </row>
    <row r="38" spans="1:5">
      <c r="A38" s="14">
        <f t="shared" si="1"/>
        <v>7.5</v>
      </c>
      <c r="B38" s="4">
        <f t="shared" si="2"/>
        <v>7.2128768613605119E-25</v>
      </c>
      <c r="C38" s="4">
        <f t="shared" si="3"/>
        <v>4.2740376489161577E-5</v>
      </c>
      <c r="D38" s="4">
        <f t="shared" si="0"/>
        <v>1.2822112946748473E-5</v>
      </c>
      <c r="E38" s="4">
        <f>IF($D57&gt;0, D38/$D57, 0)</f>
        <v>2.957067848518174E-6</v>
      </c>
    </row>
    <row r="39" spans="1:5">
      <c r="A39" s="14">
        <f t="shared" si="1"/>
        <v>7.75</v>
      </c>
      <c r="B39" s="4">
        <f t="shared" si="2"/>
        <v>2.2315963061989256E-25</v>
      </c>
      <c r="C39" s="4">
        <f t="shared" si="3"/>
        <v>3.4468291074560738E-5</v>
      </c>
      <c r="D39" s="4">
        <f t="shared" si="0"/>
        <v>1.034048732236822E-5</v>
      </c>
      <c r="E39" s="4">
        <f>IF($D57&gt;0, D39/$D57, 0)</f>
        <v>2.3847491225491758E-6</v>
      </c>
    </row>
    <row r="40" spans="1:5">
      <c r="A40" s="14">
        <f t="shared" si="1"/>
        <v>8</v>
      </c>
      <c r="B40" s="4">
        <f t="shared" si="2"/>
        <v>7.0852656219023167E-26</v>
      </c>
      <c r="C40" s="4">
        <f t="shared" si="3"/>
        <v>2.7929251697749804E-5</v>
      </c>
      <c r="D40" s="4">
        <f t="shared" ref="D40:D56" si="4">$B$4*B40 + $D$4*C40</f>
        <v>8.3787755093249415E-6</v>
      </c>
      <c r="E40" s="4">
        <f>IF($D57&gt;0, D40/$D57, 0)</f>
        <v>1.9323342238113189E-6</v>
      </c>
    </row>
    <row r="41" spans="1:5">
      <c r="A41" s="14">
        <f t="shared" si="1"/>
        <v>8.25</v>
      </c>
      <c r="B41" s="4">
        <f t="shared" si="2"/>
        <v>2.3056234594019861E-26</v>
      </c>
      <c r="C41" s="4">
        <f t="shared" si="3"/>
        <v>2.2733055828081044E-5</v>
      </c>
      <c r="D41" s="4">
        <f t="shared" si="4"/>
        <v>6.8199167484243126E-6</v>
      </c>
      <c r="E41" s="4">
        <f>IF($D57&gt;0, D41/$D57, 0)</f>
        <v>1.5728263064045331E-6</v>
      </c>
    </row>
    <row r="42" spans="1:5">
      <c r="A42" s="14">
        <f t="shared" si="1"/>
        <v>8.5</v>
      </c>
      <c r="B42" s="4">
        <f t="shared" si="2"/>
        <v>7.6808703742478481E-27</v>
      </c>
      <c r="C42" s="4">
        <f t="shared" si="3"/>
        <v>1.8583324172911552E-5</v>
      </c>
      <c r="D42" s="4">
        <f t="shared" si="4"/>
        <v>5.5749972518734657E-6</v>
      </c>
      <c r="E42" s="4">
        <f>IF($D57&gt;0, D42/$D57, 0)</f>
        <v>1.2857198495722778E-6</v>
      </c>
    </row>
    <row r="43" spans="1:5">
      <c r="A43" s="14">
        <f t="shared" si="1"/>
        <v>8.75</v>
      </c>
      <c r="B43" s="4">
        <f t="shared" si="2"/>
        <v>2.6167137544826225E-27</v>
      </c>
      <c r="C43" s="4">
        <f t="shared" si="3"/>
        <v>1.5253542257701071E-5</v>
      </c>
      <c r="D43" s="4">
        <f t="shared" si="4"/>
        <v>4.5760626773103208E-6</v>
      </c>
      <c r="E43" s="4">
        <f>IF($D57&gt;0, D43/$D57, 0)</f>
        <v>1.0553430524342575E-6</v>
      </c>
    </row>
    <row r="44" spans="1:5">
      <c r="A44" s="14">
        <f t="shared" si="1"/>
        <v>9</v>
      </c>
      <c r="B44" s="4">
        <f t="shared" si="2"/>
        <v>9.1073517989661732E-28</v>
      </c>
      <c r="C44" s="4">
        <f t="shared" si="3"/>
        <v>1.2569567529419606E-5</v>
      </c>
      <c r="D44" s="4">
        <f t="shared" si="4"/>
        <v>3.7708702588258818E-6</v>
      </c>
      <c r="E44" s="4">
        <f>IF($D57&gt;0, D44/$D57, 0)</f>
        <v>8.6964755727994919E-7</v>
      </c>
    </row>
    <row r="45" spans="1:5">
      <c r="A45" s="14">
        <f t="shared" si="1"/>
        <v>9.25</v>
      </c>
      <c r="B45" s="4">
        <f t="shared" si="2"/>
        <v>3.2352956789019009E-28</v>
      </c>
      <c r="C45" s="4">
        <f t="shared" si="3"/>
        <v>1.039676603710578E-5</v>
      </c>
      <c r="D45" s="4">
        <f t="shared" si="4"/>
        <v>3.1190298111317339E-6</v>
      </c>
      <c r="E45" s="4">
        <f>IF($D57&gt;0, D45/$D57, 0)</f>
        <v>7.1931847827048245E-7</v>
      </c>
    </row>
    <row r="46" spans="1:5">
      <c r="A46" s="14">
        <f t="shared" si="1"/>
        <v>9.5</v>
      </c>
      <c r="B46" s="4">
        <f t="shared" si="2"/>
        <v>1.1720455205562542E-28</v>
      </c>
      <c r="C46" s="4">
        <f t="shared" si="3"/>
        <v>8.6304891909887159E-6</v>
      </c>
      <c r="D46" s="4">
        <f t="shared" si="4"/>
        <v>2.5891467572966149E-6</v>
      </c>
      <c r="E46" s="4">
        <f>IF($D57&gt;0, D46/$D57, 0)</f>
        <v>5.9711551932931967E-7</v>
      </c>
    </row>
    <row r="47" spans="1:5">
      <c r="A47" s="14">
        <f t="shared" si="1"/>
        <v>9.75</v>
      </c>
      <c r="B47" s="4">
        <f t="shared" si="2"/>
        <v>4.3264405130800145E-29</v>
      </c>
      <c r="C47" s="4">
        <f t="shared" si="3"/>
        <v>7.1889776579972355E-6</v>
      </c>
      <c r="D47" s="4">
        <f t="shared" si="4"/>
        <v>2.1566932973991704E-6</v>
      </c>
      <c r="E47" s="4">
        <f>IF($D57&gt;0, D47/$D57, 0)</f>
        <v>4.9738201771736711E-7</v>
      </c>
    </row>
    <row r="48" spans="1:5">
      <c r="A48" s="14">
        <f t="shared" si="1"/>
        <v>10</v>
      </c>
      <c r="B48" s="4">
        <f t="shared" si="2"/>
        <v>1.6260811482063826E-29</v>
      </c>
      <c r="C48" s="4">
        <f t="shared" si="3"/>
        <v>6.008041119411623E-6</v>
      </c>
      <c r="D48" s="4">
        <f t="shared" si="4"/>
        <v>1.8024123358234868E-6</v>
      </c>
      <c r="E48" s="4">
        <f>IF($D57&gt;0, D48/$D57, 0)</f>
        <v>4.1567685374256191E-7</v>
      </c>
    </row>
    <row r="49" spans="1:5">
      <c r="A49" s="14">
        <f t="shared" si="1"/>
        <v>10.25</v>
      </c>
      <c r="B49" s="4">
        <f t="shared" si="2"/>
        <v>6.2182595340027968E-30</v>
      </c>
      <c r="C49" s="4">
        <f t="shared" si="3"/>
        <v>5.0370459067241332E-6</v>
      </c>
      <c r="D49" s="4">
        <f t="shared" si="4"/>
        <v>1.5111137720172399E-6</v>
      </c>
      <c r="E49" s="4">
        <f>IF($D57&gt;0, D49/$D57, 0)</f>
        <v>3.484968483153433E-7</v>
      </c>
    </row>
    <row r="50" spans="1:5">
      <c r="A50" s="14">
        <f t="shared" si="1"/>
        <v>10.5</v>
      </c>
      <c r="B50" s="4">
        <f t="shared" si="2"/>
        <v>2.4177942219137575E-30</v>
      </c>
      <c r="C50" s="4">
        <f t="shared" si="3"/>
        <v>4.2358719032152131E-6</v>
      </c>
      <c r="D50" s="4">
        <f t="shared" si="4"/>
        <v>1.270761570964564E-6</v>
      </c>
      <c r="E50" s="4">
        <f>IF($D57&gt;0, D50/$D57, 0)</f>
        <v>2.9306622085127326E-7</v>
      </c>
    </row>
    <row r="51" spans="1:5">
      <c r="A51" s="14">
        <f t="shared" si="1"/>
        <v>10.75</v>
      </c>
      <c r="B51" s="4">
        <f t="shared" si="2"/>
        <v>9.5525575673054531E-31</v>
      </c>
      <c r="C51" s="4">
        <f t="shared" si="3"/>
        <v>3.5725920800218428E-6</v>
      </c>
      <c r="D51" s="4">
        <f t="shared" si="4"/>
        <v>1.0717776240065528E-6</v>
      </c>
      <c r="E51" s="4">
        <f>IF($D57&gt;0, D51/$D57, 0)</f>
        <v>2.4717604390738713E-7</v>
      </c>
    </row>
    <row r="52" spans="1:5">
      <c r="A52" s="14">
        <f t="shared" si="1"/>
        <v>11</v>
      </c>
      <c r="B52" s="4">
        <f t="shared" si="2"/>
        <v>3.8327607256339184E-31</v>
      </c>
      <c r="C52" s="4">
        <f t="shared" si="3"/>
        <v>3.0216938898187623E-6</v>
      </c>
      <c r="D52" s="4">
        <f t="shared" si="4"/>
        <v>9.0650816694562864E-7</v>
      </c>
      <c r="E52" s="4">
        <f>IF($D57&gt;0, D52/$D57, 0)</f>
        <v>2.0906118718707997E-7</v>
      </c>
    </row>
    <row r="53" spans="1:5">
      <c r="A53" s="14">
        <f t="shared" si="1"/>
        <v>11.25</v>
      </c>
      <c r="B53" s="4">
        <f t="shared" si="2"/>
        <v>1.5608171163880424E-31</v>
      </c>
      <c r="C53" s="4">
        <f t="shared" si="3"/>
        <v>2.5627092052458897E-6</v>
      </c>
      <c r="D53" s="4">
        <f t="shared" si="4"/>
        <v>7.6881276157376685E-7</v>
      </c>
      <c r="E53" s="4">
        <f>IF($D57&gt;0, D53/$D57, 0)</f>
        <v>1.7730552742921896E-7</v>
      </c>
    </row>
    <row r="54" spans="1:5">
      <c r="A54" s="14">
        <f t="shared" si="1"/>
        <v>11.5</v>
      </c>
      <c r="B54" s="4">
        <f t="shared" si="2"/>
        <v>6.4477874122188897E-32</v>
      </c>
      <c r="C54" s="4">
        <f t="shared" si="3"/>
        <v>2.1791539177538096E-6</v>
      </c>
      <c r="D54" s="4">
        <f t="shared" si="4"/>
        <v>6.5374617532614282E-7</v>
      </c>
      <c r="E54" s="4">
        <f>IF($D57&gt;0, D54/$D57, 0)</f>
        <v>1.5076858269595031E-7</v>
      </c>
    </row>
    <row r="55" spans="1:5">
      <c r="A55" s="14">
        <f t="shared" si="1"/>
        <v>11.75</v>
      </c>
      <c r="B55" s="4">
        <f t="shared" si="2"/>
        <v>2.7006633231493744E-32</v>
      </c>
      <c r="C55" s="4">
        <f t="shared" si="3"/>
        <v>1.8577034391311441E-6</v>
      </c>
      <c r="D55" s="4">
        <f t="shared" si="4"/>
        <v>5.5731103173934323E-7</v>
      </c>
      <c r="E55" s="4">
        <f>IF($D57&gt;0, D55/$D57, 0)</f>
        <v>1.2852846800096371E-7</v>
      </c>
    </row>
    <row r="56" spans="1:5" ht="16" thickBot="1">
      <c r="A56" s="15">
        <f t="shared" si="1"/>
        <v>12</v>
      </c>
      <c r="B56" s="12">
        <f t="shared" si="2"/>
        <v>1.1463719009982406E-32</v>
      </c>
      <c r="C56" s="12">
        <f t="shared" si="3"/>
        <v>1.5875487940103289E-6</v>
      </c>
      <c r="D56" s="12">
        <f t="shared" si="4"/>
        <v>4.7626463820309864E-7</v>
      </c>
      <c r="E56" s="12">
        <f>IF($D57&gt;0, D56/$D57, 0)</f>
        <v>1.0983734544107745E-7</v>
      </c>
    </row>
    <row r="57" spans="1:5">
      <c r="A57" s="16" t="s">
        <v>22</v>
      </c>
      <c r="B57" s="11">
        <f>SUM(B8:B56)</f>
        <v>4.4738314186728569</v>
      </c>
      <c r="C57" s="11">
        <f t="shared" ref="C57:E57" si="5">SUM(C8:C56)</f>
        <v>4.0146940547200307</v>
      </c>
      <c r="D57" s="11">
        <f t="shared" si="5"/>
        <v>4.3360902094870104</v>
      </c>
      <c r="E57" s="11">
        <f t="shared" si="5"/>
        <v>0.99999999999999944</v>
      </c>
    </row>
  </sheetData>
  <mergeCells count="2">
    <mergeCell ref="A1:E1"/>
    <mergeCell ref="T1:U1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9514-1FCF-DD44-B970-7A4E041321E4}">
  <dimension ref="A1:V57"/>
  <sheetViews>
    <sheetView topLeftCell="A19" zoomScale="75" workbookViewId="0">
      <selection activeCell="E48" sqref="E48"/>
    </sheetView>
  </sheetViews>
  <sheetFormatPr baseColWidth="10" defaultColWidth="8.83203125" defaultRowHeight="15"/>
  <cols>
    <col min="1" max="1" width="13.33203125" customWidth="1"/>
    <col min="2" max="3" width="16" customWidth="1"/>
    <col min="4" max="4" width="11.83203125" bestFit="1" customWidth="1"/>
    <col min="5" max="5" width="13.1640625" customWidth="1"/>
    <col min="6" max="6" width="12.83203125" customWidth="1"/>
    <col min="7" max="7" width="14" customWidth="1"/>
    <col min="9" max="9" width="13.1640625" customWidth="1"/>
    <col min="20" max="20" width="5.33203125" bestFit="1" customWidth="1"/>
    <col min="21" max="21" width="54.1640625" bestFit="1" customWidth="1"/>
  </cols>
  <sheetData>
    <row r="1" spans="1:22" ht="19" thickBot="1">
      <c r="A1" s="18" t="s">
        <v>0</v>
      </c>
      <c r="B1" s="19"/>
      <c r="C1" s="19"/>
      <c r="D1" s="19"/>
      <c r="E1" s="19"/>
      <c r="J1" t="s">
        <v>17</v>
      </c>
      <c r="T1" s="20" t="s">
        <v>18</v>
      </c>
      <c r="U1" s="21"/>
      <c r="V1" s="6"/>
    </row>
    <row r="2" spans="1:22" ht="18">
      <c r="A2" t="s">
        <v>1</v>
      </c>
      <c r="B2" s="4">
        <f>LN(J2)</f>
        <v>2.1400661634962708</v>
      </c>
      <c r="C2" t="s">
        <v>26</v>
      </c>
      <c r="D2" s="4">
        <f>LN(J3)</f>
        <v>2.2512917986064953</v>
      </c>
      <c r="E2" t="s">
        <v>3</v>
      </c>
      <c r="F2" s="4">
        <v>0.25</v>
      </c>
      <c r="I2" t="s">
        <v>15</v>
      </c>
      <c r="J2">
        <v>8.5</v>
      </c>
      <c r="L2" s="3"/>
      <c r="T2" s="7">
        <v>0.2</v>
      </c>
      <c r="U2" s="8" t="s">
        <v>19</v>
      </c>
      <c r="V2" s="6"/>
    </row>
    <row r="3" spans="1:22" ht="18">
      <c r="A3" t="s">
        <v>4</v>
      </c>
      <c r="B3" s="4">
        <v>0.05</v>
      </c>
      <c r="C3" t="s">
        <v>27</v>
      </c>
      <c r="D3" s="4">
        <v>0.1</v>
      </c>
      <c r="F3" s="4"/>
      <c r="I3" t="s">
        <v>29</v>
      </c>
      <c r="J3">
        <v>9.5</v>
      </c>
      <c r="L3" s="3"/>
      <c r="T3" s="7">
        <v>0.5</v>
      </c>
      <c r="U3" s="8" t="s">
        <v>20</v>
      </c>
      <c r="V3" s="6"/>
    </row>
    <row r="4" spans="1:22" ht="19" thickBot="1">
      <c r="A4" t="s">
        <v>6</v>
      </c>
      <c r="B4" s="4">
        <v>0.9</v>
      </c>
      <c r="C4" t="s">
        <v>7</v>
      </c>
      <c r="D4" s="4">
        <v>0.05</v>
      </c>
      <c r="E4" t="s">
        <v>8</v>
      </c>
      <c r="F4" s="4">
        <v>12</v>
      </c>
      <c r="T4" s="9">
        <v>1</v>
      </c>
      <c r="U4" s="10" t="s">
        <v>21</v>
      </c>
      <c r="V4" s="6"/>
    </row>
    <row r="5" spans="1:22">
      <c r="A5" t="s">
        <v>9</v>
      </c>
      <c r="B5" s="4">
        <f>B4+D4</f>
        <v>0.95000000000000007</v>
      </c>
      <c r="F5" s="4"/>
    </row>
    <row r="6" spans="1:22">
      <c r="A6" s="1"/>
    </row>
    <row r="7" spans="1:22" ht="16" thickBot="1">
      <c r="A7" s="2" t="s">
        <v>10</v>
      </c>
      <c r="B7" s="2" t="s">
        <v>32</v>
      </c>
      <c r="C7" s="2" t="s">
        <v>33</v>
      </c>
      <c r="D7" s="2" t="s">
        <v>13</v>
      </c>
      <c r="E7" s="2" t="s">
        <v>14</v>
      </c>
    </row>
    <row r="8" spans="1:22">
      <c r="A8" s="13">
        <v>0</v>
      </c>
      <c r="B8" s="4">
        <f>IF(A8&gt;0,_xlfn.LOGNORM.DIST(A8,$B$2,$B$3,FALSE),0)</f>
        <v>0</v>
      </c>
      <c r="C8" s="4">
        <f>IF(A8&gt;0,_xlfn.LOGNORM.DIST(A8,$C$2,$C$3,FALSE),0)</f>
        <v>0</v>
      </c>
      <c r="D8" s="4">
        <f t="shared" ref="D8:D39" si="0">$B$4*B8 + $D$4*C8</f>
        <v>0</v>
      </c>
      <c r="E8" s="4">
        <f>IF($D57&gt;0, D8/$D57, 0)</f>
        <v>0</v>
      </c>
    </row>
    <row r="9" spans="1:22">
      <c r="A9" s="14">
        <f t="shared" ref="A9:A56" si="1">A8+$F$2</f>
        <v>0.25</v>
      </c>
      <c r="B9" s="4">
        <f t="shared" ref="B9:B56" si="2">IF(A9&gt;0,_xlfn.LOGNORM.DIST(A9,$B$2,$B$3,FALSE),0)</f>
        <v>0</v>
      </c>
      <c r="C9" s="4">
        <f t="shared" ref="C9:C56" si="3">IF(A9&gt;0,_xlfn.LOGNORM.DIST(A9,$D$2,$D$3,FALSE),0)</f>
        <v>7.4648783779373525E-287</v>
      </c>
      <c r="D9" s="4">
        <f t="shared" si="0"/>
        <v>3.7324391889686767E-288</v>
      </c>
      <c r="E9" s="4">
        <f>IF($D57&gt;0, D9/$D57, 0)</f>
        <v>9.8259614652424491E-289</v>
      </c>
    </row>
    <row r="10" spans="1:22">
      <c r="A10" s="14">
        <f t="shared" si="1"/>
        <v>0.5</v>
      </c>
      <c r="B10" s="4">
        <f t="shared" si="2"/>
        <v>0</v>
      </c>
      <c r="C10" s="4">
        <f t="shared" si="3"/>
        <v>4.3786747998394363E-188</v>
      </c>
      <c r="D10" s="4">
        <f t="shared" si="0"/>
        <v>2.1893373999197185E-189</v>
      </c>
      <c r="E10" s="4">
        <f>IF($D57&gt;0, D10/$D57, 0)</f>
        <v>5.7636156510213367E-190</v>
      </c>
    </row>
    <row r="11" spans="1:22">
      <c r="A11" s="14">
        <f t="shared" si="1"/>
        <v>0.75</v>
      </c>
      <c r="B11" s="4">
        <f t="shared" si="2"/>
        <v>0</v>
      </c>
      <c r="C11" s="4">
        <f t="shared" si="3"/>
        <v>5.5501544465328426E-140</v>
      </c>
      <c r="D11" s="4">
        <f t="shared" si="0"/>
        <v>2.7750772232664215E-141</v>
      </c>
      <c r="E11" s="4">
        <f>IF($D57&gt;0, D11/$D57, 0)</f>
        <v>7.3056252167426031E-142</v>
      </c>
    </row>
    <row r="12" spans="1:22">
      <c r="A12" s="14">
        <f t="shared" si="1"/>
        <v>1</v>
      </c>
      <c r="B12" s="4">
        <f t="shared" si="2"/>
        <v>0</v>
      </c>
      <c r="C12" s="4">
        <f t="shared" si="3"/>
        <v>3.4982703670012149E-110</v>
      </c>
      <c r="D12" s="4">
        <f t="shared" si="0"/>
        <v>1.7491351835006074E-111</v>
      </c>
      <c r="E12" s="4">
        <f>IF($D57&gt;0, D12/$D57, 0)</f>
        <v>4.604746129923078E-112</v>
      </c>
    </row>
    <row r="13" spans="1:22">
      <c r="A13" s="14">
        <f t="shared" si="1"/>
        <v>1.25</v>
      </c>
      <c r="B13" s="4">
        <f t="shared" si="2"/>
        <v>0</v>
      </c>
      <c r="C13" s="4">
        <f t="shared" si="3"/>
        <v>1.5239575997738645E-89</v>
      </c>
      <c r="D13" s="4">
        <f t="shared" si="0"/>
        <v>7.6197879988693235E-91</v>
      </c>
      <c r="E13" s="4">
        <f>IF($D57&gt;0, D13/$D57, 0)</f>
        <v>2.0059735593681545E-91</v>
      </c>
    </row>
    <row r="14" spans="1:22">
      <c r="A14" s="14">
        <f t="shared" si="1"/>
        <v>1.5</v>
      </c>
      <c r="B14" s="4">
        <f t="shared" si="2"/>
        <v>2.4057786952987886E-261</v>
      </c>
      <c r="C14" s="4">
        <f t="shared" si="3"/>
        <v>2.7612121426587067E-74</v>
      </c>
      <c r="D14" s="4">
        <f t="shared" si="0"/>
        <v>1.3806060713293534E-75</v>
      </c>
      <c r="E14" s="4">
        <f>IF($D57&gt;0, D14/$D57, 0)</f>
        <v>3.6345621103904448E-76</v>
      </c>
    </row>
    <row r="15" spans="1:22">
      <c r="A15" s="14">
        <f t="shared" si="1"/>
        <v>1.75</v>
      </c>
      <c r="B15" s="4">
        <f t="shared" si="2"/>
        <v>5.0201770903157117E-217</v>
      </c>
      <c r="C15" s="4">
        <f t="shared" si="3"/>
        <v>1.6420086573935792E-62</v>
      </c>
      <c r="D15" s="4">
        <f t="shared" si="0"/>
        <v>8.2100432869678967E-64</v>
      </c>
      <c r="E15" s="4">
        <f>IF($D57&gt;0, D15/$D57, 0)</f>
        <v>2.1613632501808996E-64</v>
      </c>
    </row>
    <row r="16" spans="1:22">
      <c r="A16" s="14">
        <f t="shared" si="1"/>
        <v>2</v>
      </c>
      <c r="B16" s="4">
        <f t="shared" si="2"/>
        <v>5.6929288290568057E-182</v>
      </c>
      <c r="C16" s="4">
        <f t="shared" si="3"/>
        <v>3.8067536689616609E-53</v>
      </c>
      <c r="D16" s="4">
        <f t="shared" si="0"/>
        <v>1.9033768344808306E-54</v>
      </c>
      <c r="E16" s="4">
        <f>IF($D57&gt;0, D16/$D57, 0)</f>
        <v>5.0108003057945471E-55</v>
      </c>
    </row>
    <row r="17" spans="1:5">
      <c r="A17" s="14">
        <f t="shared" si="1"/>
        <v>2.25</v>
      </c>
      <c r="B17" s="4">
        <f t="shared" si="2"/>
        <v>1.2724058542997692E-153</v>
      </c>
      <c r="C17" s="4">
        <f t="shared" si="3"/>
        <v>1.579283284992079E-45</v>
      </c>
      <c r="D17" s="4">
        <f t="shared" si="0"/>
        <v>7.896416424960395E-47</v>
      </c>
      <c r="E17" s="4">
        <f>IF($D57&gt;0, D17/$D57, 0)</f>
        <v>2.0787983293736533E-47</v>
      </c>
    </row>
    <row r="18" spans="1:5">
      <c r="A18" s="14">
        <f t="shared" si="1"/>
        <v>2.5</v>
      </c>
      <c r="B18" s="4">
        <f t="shared" si="2"/>
        <v>2.6413857620855554E-130</v>
      </c>
      <c r="C18" s="4">
        <f t="shared" si="3"/>
        <v>3.1796847156625633E-39</v>
      </c>
      <c r="D18" s="4">
        <f t="shared" si="0"/>
        <v>1.5898423578312817E-40</v>
      </c>
      <c r="E18" s="4">
        <f>IF($D57&gt;0, D18/$D57, 0)</f>
        <v>4.1853943099812068E-41</v>
      </c>
    </row>
    <row r="19" spans="1:5">
      <c r="A19" s="14">
        <f t="shared" si="1"/>
        <v>2.75</v>
      </c>
      <c r="B19" s="4">
        <f t="shared" si="2"/>
        <v>7.1375761146329973E-111</v>
      </c>
      <c r="C19" s="4">
        <f t="shared" si="3"/>
        <v>6.1611537266156779E-34</v>
      </c>
      <c r="D19" s="4">
        <f t="shared" si="0"/>
        <v>3.0805768633078391E-35</v>
      </c>
      <c r="E19" s="4">
        <f>IF($D57&gt;0, D19/$D57, 0)</f>
        <v>8.1098788264368714E-36</v>
      </c>
    </row>
    <row r="20" spans="1:5">
      <c r="A20" s="14">
        <f t="shared" si="1"/>
        <v>3</v>
      </c>
      <c r="B20" s="4">
        <f t="shared" si="2"/>
        <v>1.6420500869741701E-94</v>
      </c>
      <c r="C20" s="4">
        <f t="shared" si="3"/>
        <v>1.8710491874906091E-29</v>
      </c>
      <c r="D20" s="4">
        <f t="shared" si="0"/>
        <v>9.3552459374530463E-31</v>
      </c>
      <c r="E20" s="4">
        <f>IF($D57&gt;0, D20/$D57, 0)</f>
        <v>2.4628475220966567E-31</v>
      </c>
    </row>
    <row r="21" spans="1:5">
      <c r="A21" s="14">
        <f t="shared" si="1"/>
        <v>3.25</v>
      </c>
      <c r="B21" s="4">
        <f t="shared" si="2"/>
        <v>1.2746348145299659E-80</v>
      </c>
      <c r="C21" s="4">
        <f t="shared" si="3"/>
        <v>1.2739641405907467E-25</v>
      </c>
      <c r="D21" s="4">
        <f t="shared" si="0"/>
        <v>6.3698207029537343E-27</v>
      </c>
      <c r="E21" s="4">
        <f>IF($D57&gt;0, D21/$D57, 0)</f>
        <v>1.6769091095365256E-27</v>
      </c>
    </row>
    <row r="22" spans="1:5">
      <c r="A22" s="14">
        <f t="shared" si="1"/>
        <v>3.5</v>
      </c>
      <c r="B22" s="4">
        <f t="shared" si="2"/>
        <v>9.402825382139326E-69</v>
      </c>
      <c r="C22" s="4">
        <f t="shared" si="3"/>
        <v>2.5466134278777534E-22</v>
      </c>
      <c r="D22" s="4">
        <f t="shared" si="0"/>
        <v>1.2733067139388768E-23</v>
      </c>
      <c r="E22" s="4">
        <f>IF($D57&gt;0, D22/$D57, 0)</f>
        <v>3.35208748787545E-24</v>
      </c>
    </row>
    <row r="23" spans="1:5">
      <c r="A23" s="14">
        <f t="shared" si="1"/>
        <v>3.75</v>
      </c>
      <c r="B23" s="4">
        <f t="shared" si="2"/>
        <v>1.4602624504100655E-58</v>
      </c>
      <c r="C23" s="4">
        <f t="shared" si="3"/>
        <v>1.8388724188417843E-19</v>
      </c>
      <c r="D23" s="4">
        <f t="shared" si="0"/>
        <v>9.1943620942089226E-21</v>
      </c>
      <c r="E23" s="4">
        <f>IF($D57&gt;0, D23/$D57, 0)</f>
        <v>2.4204934912856772E-21</v>
      </c>
    </row>
    <row r="24" spans="1:5">
      <c r="A24" s="14">
        <f t="shared" si="1"/>
        <v>4</v>
      </c>
      <c r="B24" s="4">
        <f t="shared" si="2"/>
        <v>8.8939210687318914E-50</v>
      </c>
      <c r="C24" s="4">
        <f t="shared" si="3"/>
        <v>5.6421795542533699E-17</v>
      </c>
      <c r="D24" s="4">
        <f t="shared" si="0"/>
        <v>2.8210897771266851E-18</v>
      </c>
      <c r="E24" s="4">
        <f>IF($D57&gt;0, D24/$D57, 0)</f>
        <v>7.42675715172083E-19</v>
      </c>
    </row>
    <row r="25" spans="1:5">
      <c r="A25" s="14">
        <f t="shared" si="1"/>
        <v>4.25</v>
      </c>
      <c r="B25" s="4">
        <f t="shared" si="2"/>
        <v>3.4828324304184507E-42</v>
      </c>
      <c r="C25" s="4">
        <f t="shared" si="3"/>
        <v>8.3705755226091973E-15</v>
      </c>
      <c r="D25" s="4">
        <f t="shared" si="0"/>
        <v>4.1852877613045991E-16</v>
      </c>
      <c r="E25" s="4">
        <f>IF($D57&gt;0, D25/$D57, 0)</f>
        <v>1.1018123586601038E-16</v>
      </c>
    </row>
    <row r="26" spans="1:5">
      <c r="A26" s="14">
        <f t="shared" si="1"/>
        <v>4.5</v>
      </c>
      <c r="B26" s="4">
        <f t="shared" si="2"/>
        <v>1.3058475839445496E-35</v>
      </c>
      <c r="C26" s="4">
        <f t="shared" si="3"/>
        <v>6.6639157139038116E-13</v>
      </c>
      <c r="D26" s="4">
        <f t="shared" si="0"/>
        <v>3.3319578569519062E-14</v>
      </c>
      <c r="E26" s="4">
        <f>IF($D57&gt;0, D26/$D57, 0)</f>
        <v>8.7716605277814748E-15</v>
      </c>
    </row>
    <row r="27" spans="1:5">
      <c r="A27" s="14">
        <f t="shared" si="1"/>
        <v>4.75</v>
      </c>
      <c r="B27" s="4">
        <f t="shared" si="2"/>
        <v>6.4861225380470117E-30</v>
      </c>
      <c r="C27" s="4">
        <f t="shared" si="3"/>
        <v>3.0996440079979993E-11</v>
      </c>
      <c r="D27" s="4">
        <f t="shared" si="0"/>
        <v>1.5498220039989997E-12</v>
      </c>
      <c r="E27" s="4">
        <f>IF($D57&gt;0, D27/$D57, 0)</f>
        <v>4.0800373477717226E-13</v>
      </c>
    </row>
    <row r="28" spans="1:5">
      <c r="A28" s="14">
        <f t="shared" si="1"/>
        <v>5</v>
      </c>
      <c r="B28" s="4">
        <f t="shared" si="2"/>
        <v>5.5773568853180781E-25</v>
      </c>
      <c r="C28" s="4">
        <f t="shared" si="3"/>
        <v>9.0362025799905573E-10</v>
      </c>
      <c r="D28" s="4">
        <f t="shared" si="0"/>
        <v>4.5181012899953296E-11</v>
      </c>
      <c r="E28" s="4">
        <f>IF($D57&gt;0, D28/$D57, 0)</f>
        <v>1.189428331552353E-11</v>
      </c>
    </row>
    <row r="29" spans="1:5">
      <c r="A29" s="14">
        <f t="shared" si="1"/>
        <v>5.25</v>
      </c>
      <c r="B29" s="4">
        <f t="shared" si="2"/>
        <v>1.0373601071358499E-20</v>
      </c>
      <c r="C29" s="4">
        <f t="shared" si="3"/>
        <v>1.7504454691425254E-8</v>
      </c>
      <c r="D29" s="4">
        <f t="shared" si="0"/>
        <v>8.7522273458059905E-10</v>
      </c>
      <c r="E29" s="4">
        <f>IF($D57&gt;0, D29/$D57, 0)</f>
        <v>2.3040977838059179E-10</v>
      </c>
    </row>
    <row r="30" spans="1:5">
      <c r="A30" s="14">
        <f t="shared" si="1"/>
        <v>5.5</v>
      </c>
      <c r="B30" s="4">
        <f t="shared" si="2"/>
        <v>5.0310443976155832E-17</v>
      </c>
      <c r="C30" s="4">
        <f t="shared" si="3"/>
        <v>2.3666914566896813E-7</v>
      </c>
      <c r="D30" s="4">
        <f t="shared" si="0"/>
        <v>1.1833457328727807E-8</v>
      </c>
      <c r="E30" s="4">
        <f>IF($D57&gt;0, D30/$D57, 0)</f>
        <v>3.1152576057052561E-9</v>
      </c>
    </row>
    <row r="31" spans="1:5">
      <c r="A31" s="14">
        <f t="shared" si="1"/>
        <v>5.75</v>
      </c>
      <c r="B31" s="4">
        <f t="shared" si="2"/>
        <v>7.4520632036258061E-14</v>
      </c>
      <c r="C31" s="4">
        <f t="shared" si="3"/>
        <v>2.3283066917626168E-6</v>
      </c>
      <c r="D31" s="4">
        <f t="shared" si="0"/>
        <v>1.1641540165669968E-7</v>
      </c>
      <c r="E31" s="4">
        <f>IF($D57&gt;0, D31/$D57, 0)</f>
        <v>3.0647337912972836E-8</v>
      </c>
    </row>
    <row r="32" spans="1:5">
      <c r="A32" s="14">
        <f t="shared" si="1"/>
        <v>6</v>
      </c>
      <c r="B32" s="4">
        <f t="shared" si="2"/>
        <v>3.8572698467760616E-11</v>
      </c>
      <c r="C32" s="4">
        <f t="shared" si="3"/>
        <v>1.7268768160470065E-5</v>
      </c>
      <c r="D32" s="4">
        <f t="shared" si="0"/>
        <v>8.6347312345212426E-7</v>
      </c>
      <c r="E32" s="4">
        <f>IF($D57&gt;0, D32/$D57, 0)</f>
        <v>2.2731659399539951E-7</v>
      </c>
    </row>
    <row r="33" spans="1:5">
      <c r="A33" s="14">
        <f t="shared" si="1"/>
        <v>6.25</v>
      </c>
      <c r="B33" s="4">
        <f t="shared" si="2"/>
        <v>7.8311549140604182E-9</v>
      </c>
      <c r="C33" s="4">
        <f t="shared" si="3"/>
        <v>9.9549840485434497E-5</v>
      </c>
      <c r="D33" s="4">
        <f t="shared" si="0"/>
        <v>4.9845400636943794E-6</v>
      </c>
      <c r="E33" s="4">
        <f>IF($D57&gt;0, D33/$D57, 0)</f>
        <v>1.3122222790011849E-6</v>
      </c>
    </row>
    <row r="34" spans="1:5">
      <c r="A34" s="14">
        <f t="shared" si="1"/>
        <v>6.5</v>
      </c>
      <c r="B34" s="4">
        <f t="shared" si="2"/>
        <v>6.8893305219013774E-7</v>
      </c>
      <c r="C34" s="4">
        <f t="shared" si="3"/>
        <v>4.5793913934834898E-4</v>
      </c>
      <c r="D34" s="4">
        <f t="shared" si="0"/>
        <v>2.3516996714388575E-5</v>
      </c>
      <c r="E34" s="4">
        <f>IF($D57&gt;0, D34/$D57, 0)</f>
        <v>6.1910480464563209E-6</v>
      </c>
    </row>
    <row r="35" spans="1:5">
      <c r="A35" s="14">
        <f t="shared" si="1"/>
        <v>6.75</v>
      </c>
      <c r="B35" s="4">
        <f t="shared" si="2"/>
        <v>2.8632154155346894E-5</v>
      </c>
      <c r="C35" s="4">
        <f t="shared" si="3"/>
        <v>1.719838422336845E-3</v>
      </c>
      <c r="D35" s="4">
        <f t="shared" si="0"/>
        <v>1.1176085985665445E-4</v>
      </c>
      <c r="E35" s="4">
        <f>IF($D57&gt;0, D35/$D57, 0)</f>
        <v>2.9421990464559563E-5</v>
      </c>
    </row>
    <row r="36" spans="1:5">
      <c r="A36" s="14">
        <f t="shared" si="1"/>
        <v>7</v>
      </c>
      <c r="B36" s="4">
        <f t="shared" si="2"/>
        <v>6.0612277256339179E-4</v>
      </c>
      <c r="C36" s="4">
        <f t="shared" si="3"/>
        <v>5.3794928051081915E-3</v>
      </c>
      <c r="D36" s="4">
        <f t="shared" si="0"/>
        <v>8.1448513556246229E-4</v>
      </c>
      <c r="E36" s="4">
        <f>IF($D57&gt;0, D36/$D57, 0)</f>
        <v>2.1442009235416077E-4</v>
      </c>
    </row>
    <row r="37" spans="1:5">
      <c r="A37" s="14">
        <f t="shared" si="1"/>
        <v>7.25</v>
      </c>
      <c r="B37" s="4">
        <f t="shared" si="2"/>
        <v>6.9812789799434758E-3</v>
      </c>
      <c r="C37" s="4">
        <f t="shared" si="3"/>
        <v>1.4261409490596734E-2</v>
      </c>
      <c r="D37" s="4">
        <f t="shared" si="0"/>
        <v>6.9962215564789657E-3</v>
      </c>
      <c r="E37" s="4">
        <f>IF($D57&gt;0, D37/$D57, 0)</f>
        <v>1.8418144257899061E-3</v>
      </c>
    </row>
    <row r="38" spans="1:5">
      <c r="A38" s="14">
        <f t="shared" si="1"/>
        <v>7.5</v>
      </c>
      <c r="B38" s="4">
        <f t="shared" si="2"/>
        <v>4.6362156230221309E-2</v>
      </c>
      <c r="C38" s="4">
        <f t="shared" si="3"/>
        <v>3.2541496767149895E-2</v>
      </c>
      <c r="D38" s="4">
        <f t="shared" si="0"/>
        <v>4.335301544555667E-2</v>
      </c>
      <c r="E38" s="4">
        <f>IF($D57&gt;0, D38/$D57, 0)</f>
        <v>1.1413047543523567E-2</v>
      </c>
    </row>
    <row r="39" spans="1:5">
      <c r="A39" s="14">
        <f t="shared" si="1"/>
        <v>7.75</v>
      </c>
      <c r="B39" s="4">
        <f t="shared" si="2"/>
        <v>0.18684700400185422</v>
      </c>
      <c r="C39" s="4">
        <f t="shared" si="3"/>
        <v>6.4785529396629765E-2</v>
      </c>
      <c r="D39" s="4">
        <f t="shared" si="0"/>
        <v>0.1714015800715003</v>
      </c>
      <c r="E39" s="4">
        <f>IF($D57&gt;0, D39/$D57, 0)</f>
        <v>4.512291388006761E-2</v>
      </c>
    </row>
    <row r="40" spans="1:5">
      <c r="A40" s="14">
        <f t="shared" si="1"/>
        <v>8</v>
      </c>
      <c r="B40" s="4">
        <f t="shared" si="2"/>
        <v>0.47820452788216161</v>
      </c>
      <c r="C40" s="4">
        <f t="shared" si="3"/>
        <v>0.11390158166631427</v>
      </c>
      <c r="D40" s="4">
        <f t="shared" ref="D40:D56" si="4">$B$4*B40 + $D$4*C40</f>
        <v>0.43607915417726117</v>
      </c>
      <c r="E40" s="4">
        <f>IF($D57&gt;0, D40/$D57, 0)</f>
        <v>0.1148015211448164</v>
      </c>
    </row>
    <row r="41" spans="1:5">
      <c r="A41" s="14">
        <f t="shared" si="1"/>
        <v>8.25</v>
      </c>
      <c r="B41" s="4">
        <f t="shared" si="2"/>
        <v>0.80924032500088894</v>
      </c>
      <c r="C41" s="4">
        <f t="shared" si="3"/>
        <v>0.17875749201670163</v>
      </c>
      <c r="D41" s="4">
        <f t="shared" si="4"/>
        <v>0.73725416710163516</v>
      </c>
      <c r="E41" s="4">
        <f>IF($D57&gt;0, D41/$D57, 0)</f>
        <v>0.19408838749310642</v>
      </c>
    </row>
    <row r="42" spans="1:5">
      <c r="A42" s="14">
        <f t="shared" si="1"/>
        <v>8.5</v>
      </c>
      <c r="B42" s="4">
        <f t="shared" si="2"/>
        <v>0.93868771859160627</v>
      </c>
      <c r="C42" s="4">
        <f t="shared" si="3"/>
        <v>0.25284548729119916</v>
      </c>
      <c r="D42" s="4">
        <f t="shared" si="4"/>
        <v>0.85746122109700562</v>
      </c>
      <c r="E42" s="4">
        <f>IF($D57&gt;0, D42/$D57, 0)</f>
        <v>0.22573390991446959</v>
      </c>
    </row>
    <row r="43" spans="1:5">
      <c r="A43" s="14">
        <f t="shared" si="1"/>
        <v>8.75</v>
      </c>
      <c r="B43" s="4">
        <f t="shared" si="2"/>
        <v>0.77080841997697669</v>
      </c>
      <c r="C43" s="4">
        <f t="shared" si="3"/>
        <v>0.32511952967206947</v>
      </c>
      <c r="D43" s="4">
        <f t="shared" si="4"/>
        <v>0.70998355446288253</v>
      </c>
      <c r="E43" s="4">
        <f>IF($D57&gt;0, D43/$D57, 0)</f>
        <v>0.18690916834564114</v>
      </c>
    </row>
    <row r="44" spans="1:5">
      <c r="A44" s="14">
        <f t="shared" si="1"/>
        <v>9</v>
      </c>
      <c r="B44" s="4">
        <f t="shared" si="2"/>
        <v>0.46123495985167617</v>
      </c>
      <c r="C44" s="4">
        <f t="shared" si="3"/>
        <v>0.382991976793293</v>
      </c>
      <c r="D44" s="4">
        <f t="shared" si="4"/>
        <v>0.43426106270617321</v>
      </c>
      <c r="E44" s="4">
        <f>IF($D57&gt;0, D44/$D57, 0)</f>
        <v>0.1143228932066039</v>
      </c>
    </row>
    <row r="45" spans="1:5">
      <c r="A45" s="14">
        <f t="shared" si="1"/>
        <v>9.25</v>
      </c>
      <c r="B45" s="4">
        <f t="shared" si="2"/>
        <v>0.20642457548287002</v>
      </c>
      <c r="C45" s="4">
        <f t="shared" si="3"/>
        <v>0.41622189401348203</v>
      </c>
      <c r="D45" s="4">
        <f t="shared" si="4"/>
        <v>0.20659321263525712</v>
      </c>
      <c r="E45" s="4">
        <f>IF($D57&gt;0, D45/$D57, 0)</f>
        <v>5.4387408436132774E-2</v>
      </c>
    </row>
    <row r="46" spans="1:5">
      <c r="A46" s="14">
        <f t="shared" si="1"/>
        <v>9.5</v>
      </c>
      <c r="B46" s="4">
        <f t="shared" si="2"/>
        <v>7.0741248983241925E-2</v>
      </c>
      <c r="C46" s="4">
        <f t="shared" si="3"/>
        <v>0.41993924252782372</v>
      </c>
      <c r="D46" s="4">
        <f t="shared" si="4"/>
        <v>8.4664086211308914E-2</v>
      </c>
      <c r="E46" s="4">
        <f>IF($D57&gt;0, D46/$D57, 0)</f>
        <v>2.2288535900625156E-2</v>
      </c>
    </row>
    <row r="47" spans="1:5">
      <c r="A47" s="14">
        <f t="shared" si="1"/>
        <v>9.75</v>
      </c>
      <c r="B47" s="4">
        <f t="shared" si="2"/>
        <v>1.8962288393626171E-2</v>
      </c>
      <c r="C47" s="4">
        <f t="shared" si="3"/>
        <v>0.3955978872321978</v>
      </c>
      <c r="D47" s="4">
        <f t="shared" si="4"/>
        <v>3.6845953915873447E-2</v>
      </c>
      <c r="E47" s="4">
        <f>IF($D57&gt;0, D47/$D57, 0)</f>
        <v>9.7000086269994935E-3</v>
      </c>
    </row>
    <row r="48" spans="1:5">
      <c r="A48" s="14">
        <f t="shared" si="1"/>
        <v>10</v>
      </c>
      <c r="B48" s="4">
        <f t="shared" si="2"/>
        <v>4.0531057428146505E-3</v>
      </c>
      <c r="C48" s="4">
        <f t="shared" si="3"/>
        <v>0.34976679881739153</v>
      </c>
      <c r="D48" s="4">
        <f t="shared" si="4"/>
        <v>2.1136135109402765E-2</v>
      </c>
      <c r="E48" s="4">
        <f>IF($D57&gt;0, D48/$D57, 0)</f>
        <v>5.564266116457081E-3</v>
      </c>
    </row>
    <row r="49" spans="1:5">
      <c r="A49" s="14">
        <f t="shared" si="1"/>
        <v>10.25</v>
      </c>
      <c r="B49" s="4">
        <f t="shared" si="2"/>
        <v>7.0302629459978764E-4</v>
      </c>
      <c r="C49" s="4">
        <f t="shared" si="3"/>
        <v>0.29161406423331926</v>
      </c>
      <c r="D49" s="4">
        <f t="shared" si="4"/>
        <v>1.5213426876805772E-2</v>
      </c>
      <c r="E49" s="4">
        <f>IF($D57&gt;0, D49/$D57, 0)</f>
        <v>4.005063141754292E-3</v>
      </c>
    </row>
    <row r="50" spans="1:5">
      <c r="A50" s="14">
        <f t="shared" si="1"/>
        <v>10.5</v>
      </c>
      <c r="B50" s="4">
        <f t="shared" si="2"/>
        <v>1.0054671323913919E-4</v>
      </c>
      <c r="C50" s="4">
        <f t="shared" si="3"/>
        <v>0.23025598027715949</v>
      </c>
      <c r="D50" s="4">
        <f t="shared" si="4"/>
        <v>1.16032910557732E-2</v>
      </c>
      <c r="E50" s="4">
        <f>IF($D57&gt;0, D50/$D57, 0)</f>
        <v>3.0546643900050598E-3</v>
      </c>
    </row>
    <row r="51" spans="1:5">
      <c r="A51" s="14">
        <f t="shared" si="1"/>
        <v>10.75</v>
      </c>
      <c r="B51" s="4">
        <f t="shared" si="2"/>
        <v>1.2030821752531337E-5</v>
      </c>
      <c r="C51" s="4">
        <f t="shared" si="3"/>
        <v>0.172858886850974</v>
      </c>
      <c r="D51" s="4">
        <f t="shared" si="4"/>
        <v>8.6537720821259784E-3</v>
      </c>
      <c r="E51" s="4">
        <f>IF($D57&gt;0, D51/$D57, 0)</f>
        <v>2.2781786039347681E-3</v>
      </c>
    </row>
    <row r="52" spans="1:5">
      <c r="A52" s="14">
        <f t="shared" si="1"/>
        <v>11</v>
      </c>
      <c r="B52" s="4">
        <f t="shared" si="2"/>
        <v>1.2204737521622689E-6</v>
      </c>
      <c r="C52" s="4">
        <f t="shared" si="3"/>
        <v>0.12382603459221783</v>
      </c>
      <c r="D52" s="4">
        <f t="shared" si="4"/>
        <v>6.1924001559878379E-3</v>
      </c>
      <c r="E52" s="4">
        <f>IF($D57&gt;0, D52/$D57, 0)</f>
        <v>1.6302016517758852E-3</v>
      </c>
    </row>
    <row r="53" spans="1:5">
      <c r="A53" s="14">
        <f t="shared" si="1"/>
        <v>11.25</v>
      </c>
      <c r="B53" s="4">
        <f t="shared" si="2"/>
        <v>1.0625619529767987E-7</v>
      </c>
      <c r="C53" s="4">
        <f t="shared" si="3"/>
        <v>8.4918624666328615E-2</v>
      </c>
      <c r="D53" s="4">
        <f t="shared" si="4"/>
        <v>4.2460268638921991E-3</v>
      </c>
      <c r="E53" s="4">
        <f>IF($D57&gt;0, D53/$D57, 0)</f>
        <v>1.1178024405138975E-3</v>
      </c>
    </row>
    <row r="54" spans="1:5">
      <c r="A54" s="14">
        <f t="shared" si="1"/>
        <v>11.5</v>
      </c>
      <c r="B54" s="4">
        <f t="shared" si="2"/>
        <v>8.0282569879416655E-9</v>
      </c>
      <c r="C54" s="4">
        <f t="shared" si="3"/>
        <v>5.5921539540956584E-2</v>
      </c>
      <c r="D54" s="4">
        <f t="shared" si="4"/>
        <v>2.7960842024791189E-3</v>
      </c>
      <c r="E54" s="4">
        <f>IF($D57&gt;0, D54/$D57, 0)</f>
        <v>7.3609278640985665E-4</v>
      </c>
    </row>
    <row r="55" spans="1:5">
      <c r="A55" s="14">
        <f t="shared" si="1"/>
        <v>11.75</v>
      </c>
      <c r="B55" s="4">
        <f t="shared" si="2"/>
        <v>5.3184248096428464E-10</v>
      </c>
      <c r="C55" s="4">
        <f t="shared" si="3"/>
        <v>3.5460885327622711E-2</v>
      </c>
      <c r="D55" s="4">
        <f t="shared" si="4"/>
        <v>1.7730447450393684E-3</v>
      </c>
      <c r="E55" s="4">
        <f>IF($D57&gt;0, D55/$D57, 0)</f>
        <v>4.6676900704499769E-4</v>
      </c>
    </row>
    <row r="56" spans="1:5" ht="16" thickBot="1">
      <c r="A56" s="15">
        <f t="shared" si="1"/>
        <v>12</v>
      </c>
      <c r="B56" s="12">
        <f t="shared" si="2"/>
        <v>3.1184338864066612E-11</v>
      </c>
      <c r="C56" s="12">
        <f t="shared" si="3"/>
        <v>2.1708421099222452E-2</v>
      </c>
      <c r="D56" s="12">
        <f t="shared" si="4"/>
        <v>1.0854210830270278E-3</v>
      </c>
      <c r="E56" s="12">
        <f>IF($D57&gt;0, D56/$D57, 0)</f>
        <v>2.8574626927363998E-4</v>
      </c>
    </row>
    <row r="57" spans="1:5">
      <c r="A57" s="16" t="s">
        <v>22</v>
      </c>
      <c r="B57" s="11">
        <f>SUM(B8:B56)</f>
        <v>3.9999999999982783</v>
      </c>
      <c r="C57" s="11">
        <f t="shared" ref="C57:E57" si="5">SUM(C8:C56)</f>
        <v>3.9709714346636731</v>
      </c>
      <c r="D57" s="11">
        <f t="shared" si="5"/>
        <v>3.798548571731633</v>
      </c>
      <c r="E57" s="11">
        <f t="shared" si="5"/>
        <v>1</v>
      </c>
    </row>
  </sheetData>
  <mergeCells count="2">
    <mergeCell ref="A1:E1"/>
    <mergeCell ref="T1:U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Retail</vt:lpstr>
      <vt:lpstr>Büro</vt:lpstr>
      <vt:lpstr>Logistikzentrum</vt:lpstr>
      <vt:lpstr>Autobahn</vt:lpstr>
      <vt:lpstr>Industrie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Grau</cp:lastModifiedBy>
  <dcterms:created xsi:type="dcterms:W3CDTF">2025-11-07T16:06:13Z</dcterms:created>
  <dcterms:modified xsi:type="dcterms:W3CDTF">2025-11-14T11:25:54Z</dcterms:modified>
</cp:coreProperties>
</file>