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grau/Desktop/Thesis/To-Dos/"/>
    </mc:Choice>
  </mc:AlternateContent>
  <xr:revisionPtr revIDLastSave="0" documentId="13_ncr:1_{CCBA21DC-D7A6-A64F-8A17-965E20ED9868}" xr6:coauthVersionLast="47" xr6:coauthVersionMax="47" xr10:uidLastSave="{00000000-0000-0000-0000-000000000000}"/>
  <bookViews>
    <workbookView xWindow="0" yWindow="500" windowWidth="28800" windowHeight="17500" activeTab="2" xr2:uid="{C8340458-DD58-254A-A3BC-7A4F87B1254F}"/>
  </bookViews>
  <sheets>
    <sheet name="Retail, Autobahn, Logistik" sheetId="1" r:id="rId1"/>
    <sheet name="Büro" sheetId="2" r:id="rId2"/>
    <sheet name="Industrie-2" sheetId="5" r:id="rId3"/>
    <sheet name="Industrie-3" sheetId="6" r:id="rId4"/>
  </sheets>
  <definedNames>
    <definedName name="_xlchart.v1.0" hidden="1">'Industrie-3'!$H$9:$H$104</definedName>
    <definedName name="_xlchart.v1.1" hidden="1">'Industrie-3'!$I$8</definedName>
    <definedName name="_xlchart.v1.10" hidden="1">'Industrie-3'!$M$9:$M$104</definedName>
    <definedName name="_xlchart.v1.11" hidden="1">'Industrie-3'!$N$8</definedName>
    <definedName name="_xlchart.v1.12" hidden="1">'Industrie-3'!$N$9:$N$104</definedName>
    <definedName name="_xlchart.v1.13" hidden="1">'Industrie-3'!$O$8</definedName>
    <definedName name="_xlchart.v1.14" hidden="1">'Industrie-3'!$O$9:$O$104</definedName>
    <definedName name="_xlchart.v1.2" hidden="1">'Industrie-3'!$I$9:$I$104</definedName>
    <definedName name="_xlchart.v1.3" hidden="1">'Industrie-3'!$J$8</definedName>
    <definedName name="_xlchart.v1.4" hidden="1">'Industrie-3'!$J$9:$J$104</definedName>
    <definedName name="_xlchart.v1.5" hidden="1">'Industrie-3'!$K$8</definedName>
    <definedName name="_xlchart.v1.6" hidden="1">'Industrie-3'!$K$9:$K$104</definedName>
    <definedName name="_xlchart.v1.7" hidden="1">'Industrie-3'!$L$8</definedName>
    <definedName name="_xlchart.v1.8" hidden="1">'Industrie-3'!$L$9:$L$104</definedName>
    <definedName name="_xlchart.v1.9" hidden="1">'Industrie-3'!$M$8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6" l="1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F2" i="6"/>
  <c r="D9" i="6"/>
  <c r="B5" i="6"/>
  <c r="A10" i="6"/>
  <c r="A11" i="6" s="1"/>
  <c r="C9" i="6"/>
  <c r="B9" i="6"/>
  <c r="D2" i="6"/>
  <c r="B2" i="6"/>
  <c r="A11" i="5"/>
  <c r="A12" i="5" s="1"/>
  <c r="A10" i="5"/>
  <c r="C9" i="5"/>
  <c r="B9" i="5"/>
  <c r="B5" i="5"/>
  <c r="D2" i="5"/>
  <c r="C10" i="5" s="1"/>
  <c r="B2" i="5"/>
  <c r="C105" i="2"/>
  <c r="C9" i="2"/>
  <c r="B9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E9" i="6" l="1"/>
  <c r="B11" i="6"/>
  <c r="B10" i="6"/>
  <c r="C10" i="6"/>
  <c r="E10" i="6" s="1"/>
  <c r="A12" i="6"/>
  <c r="C11" i="6"/>
  <c r="E11" i="6" s="1"/>
  <c r="A13" i="5"/>
  <c r="C12" i="5"/>
  <c r="B12" i="5"/>
  <c r="B11" i="5"/>
  <c r="C11" i="5"/>
  <c r="B10" i="5"/>
  <c r="D10" i="5" s="1"/>
  <c r="D9" i="5"/>
  <c r="D9" i="2"/>
  <c r="D105" i="6" l="1"/>
  <c r="D12" i="5"/>
  <c r="D11" i="5"/>
  <c r="B12" i="6"/>
  <c r="C12" i="6"/>
  <c r="E12" i="6" s="1"/>
  <c r="A13" i="6"/>
  <c r="C13" i="5"/>
  <c r="B13" i="5"/>
  <c r="A14" i="5"/>
  <c r="A14" i="6" l="1"/>
  <c r="C13" i="6"/>
  <c r="E13" i="6" s="1"/>
  <c r="B13" i="6"/>
  <c r="C14" i="5"/>
  <c r="A15" i="5"/>
  <c r="B14" i="5"/>
  <c r="D13" i="5"/>
  <c r="D14" i="5" l="1"/>
  <c r="A15" i="6"/>
  <c r="C14" i="6"/>
  <c r="E14" i="6" s="1"/>
  <c r="B14" i="6"/>
  <c r="A16" i="5"/>
  <c r="C15" i="5"/>
  <c r="B15" i="5"/>
  <c r="A16" i="6" l="1"/>
  <c r="B15" i="6"/>
  <c r="C15" i="6"/>
  <c r="E15" i="6" s="1"/>
  <c r="D15" i="5"/>
  <c r="A17" i="5"/>
  <c r="C16" i="5"/>
  <c r="B16" i="5"/>
  <c r="D16" i="5" l="1"/>
  <c r="B16" i="6"/>
  <c r="A17" i="6"/>
  <c r="C16" i="6"/>
  <c r="E16" i="6" s="1"/>
  <c r="A18" i="5"/>
  <c r="C17" i="5"/>
  <c r="B17" i="5"/>
  <c r="D17" i="5" l="1"/>
  <c r="A18" i="6"/>
  <c r="C17" i="6"/>
  <c r="E17" i="6" s="1"/>
  <c r="B17" i="6"/>
  <c r="C18" i="5"/>
  <c r="B18" i="5"/>
  <c r="A19" i="5"/>
  <c r="D18" i="5" l="1"/>
  <c r="C18" i="6"/>
  <c r="E18" i="6" s="1"/>
  <c r="B18" i="6"/>
  <c r="A19" i="6"/>
  <c r="B19" i="5"/>
  <c r="A20" i="5"/>
  <c r="C19" i="5"/>
  <c r="A20" i="6" l="1"/>
  <c r="C19" i="6"/>
  <c r="E19" i="6" s="1"/>
  <c r="B19" i="6"/>
  <c r="C20" i="5"/>
  <c r="B20" i="5"/>
  <c r="A21" i="5"/>
  <c r="D19" i="5"/>
  <c r="D20" i="5" l="1"/>
  <c r="A21" i="6"/>
  <c r="C20" i="6"/>
  <c r="E20" i="6" s="1"/>
  <c r="B20" i="6"/>
  <c r="A22" i="5"/>
  <c r="B21" i="5"/>
  <c r="C21" i="5"/>
  <c r="A22" i="6" l="1"/>
  <c r="C21" i="6"/>
  <c r="E21" i="6" s="1"/>
  <c r="B21" i="6"/>
  <c r="D21" i="5"/>
  <c r="C22" i="5"/>
  <c r="B22" i="5"/>
  <c r="A23" i="5"/>
  <c r="D22" i="5" l="1"/>
  <c r="B22" i="6"/>
  <c r="A23" i="6"/>
  <c r="C22" i="6"/>
  <c r="E22" i="6" s="1"/>
  <c r="C23" i="5"/>
  <c r="A24" i="5"/>
  <c r="B23" i="5"/>
  <c r="D23" i="5" l="1"/>
  <c r="A24" i="6"/>
  <c r="C23" i="6"/>
  <c r="E23" i="6" s="1"/>
  <c r="B23" i="6"/>
  <c r="C24" i="5"/>
  <c r="B24" i="5"/>
  <c r="A25" i="5"/>
  <c r="D24" i="5" l="1"/>
  <c r="A25" i="6"/>
  <c r="C24" i="6"/>
  <c r="E24" i="6" s="1"/>
  <c r="B24" i="6"/>
  <c r="C25" i="5"/>
  <c r="A26" i="5"/>
  <c r="B25" i="5"/>
  <c r="D25" i="5" s="1"/>
  <c r="A26" i="6" l="1"/>
  <c r="B25" i="6"/>
  <c r="C25" i="6"/>
  <c r="E25" i="6" s="1"/>
  <c r="C26" i="5"/>
  <c r="B26" i="5"/>
  <c r="A27" i="5"/>
  <c r="D26" i="5" l="1"/>
  <c r="C26" i="6"/>
  <c r="E26" i="6" s="1"/>
  <c r="B26" i="6"/>
  <c r="A27" i="6"/>
  <c r="B27" i="5"/>
  <c r="C27" i="5"/>
  <c r="A28" i="5"/>
  <c r="A28" i="6" l="1"/>
  <c r="C27" i="6"/>
  <c r="E27" i="6" s="1"/>
  <c r="B27" i="6"/>
  <c r="A29" i="5"/>
  <c r="B28" i="5"/>
  <c r="C28" i="5"/>
  <c r="D27" i="5"/>
  <c r="B28" i="6" l="1"/>
  <c r="C28" i="6"/>
  <c r="E28" i="6" s="1"/>
  <c r="A29" i="6"/>
  <c r="D28" i="5"/>
  <c r="B29" i="5"/>
  <c r="A30" i="5"/>
  <c r="C29" i="5"/>
  <c r="A30" i="6" l="1"/>
  <c r="C29" i="6"/>
  <c r="E29" i="6" s="1"/>
  <c r="B29" i="6"/>
  <c r="B30" i="5"/>
  <c r="A31" i="5"/>
  <c r="C30" i="5"/>
  <c r="D29" i="5"/>
  <c r="A31" i="6" l="1"/>
  <c r="C30" i="6"/>
  <c r="E30" i="6" s="1"/>
  <c r="B30" i="6"/>
  <c r="B31" i="5"/>
  <c r="C31" i="5"/>
  <c r="A32" i="5"/>
  <c r="D30" i="5"/>
  <c r="A32" i="6" l="1"/>
  <c r="B31" i="6"/>
  <c r="C31" i="6"/>
  <c r="E31" i="6" s="1"/>
  <c r="A33" i="5"/>
  <c r="C32" i="5"/>
  <c r="B32" i="5"/>
  <c r="D31" i="5"/>
  <c r="D32" i="5" l="1"/>
  <c r="C32" i="6"/>
  <c r="E32" i="6" s="1"/>
  <c r="B32" i="6"/>
  <c r="A33" i="6"/>
  <c r="B33" i="5"/>
  <c r="C33" i="5"/>
  <c r="A34" i="5"/>
  <c r="A34" i="6" l="1"/>
  <c r="C33" i="6"/>
  <c r="E33" i="6" s="1"/>
  <c r="B33" i="6"/>
  <c r="C34" i="5"/>
  <c r="A35" i="5"/>
  <c r="B34" i="5"/>
  <c r="D33" i="5"/>
  <c r="D34" i="5" l="1"/>
  <c r="C34" i="6"/>
  <c r="E34" i="6" s="1"/>
  <c r="B34" i="6"/>
  <c r="A35" i="6"/>
  <c r="B35" i="5"/>
  <c r="A36" i="5"/>
  <c r="C35" i="5"/>
  <c r="A36" i="6" l="1"/>
  <c r="C35" i="6"/>
  <c r="E35" i="6" s="1"/>
  <c r="B35" i="6"/>
  <c r="B36" i="5"/>
  <c r="C36" i="5"/>
  <c r="A37" i="5"/>
  <c r="D35" i="5"/>
  <c r="A37" i="6" l="1"/>
  <c r="C36" i="6"/>
  <c r="E36" i="6" s="1"/>
  <c r="B36" i="6"/>
  <c r="B37" i="5"/>
  <c r="C37" i="5"/>
  <c r="A38" i="5"/>
  <c r="D36" i="5"/>
  <c r="A38" i="6" l="1"/>
  <c r="C37" i="6"/>
  <c r="E37" i="6" s="1"/>
  <c r="B37" i="6"/>
  <c r="A39" i="5"/>
  <c r="C38" i="5"/>
  <c r="B38" i="5"/>
  <c r="D37" i="5"/>
  <c r="D38" i="5" l="1"/>
  <c r="B38" i="6"/>
  <c r="C38" i="6"/>
  <c r="E38" i="6" s="1"/>
  <c r="A39" i="6"/>
  <c r="B39" i="5"/>
  <c r="C39" i="5"/>
  <c r="A40" i="5"/>
  <c r="A40" i="6" l="1"/>
  <c r="C39" i="6"/>
  <c r="E39" i="6" s="1"/>
  <c r="B39" i="6"/>
  <c r="A41" i="5"/>
  <c r="C40" i="5"/>
  <c r="B40" i="5"/>
  <c r="D39" i="5"/>
  <c r="D40" i="5" l="1"/>
  <c r="B40" i="6"/>
  <c r="A41" i="6"/>
  <c r="C40" i="6"/>
  <c r="E40" i="6" s="1"/>
  <c r="B41" i="5"/>
  <c r="C41" i="5"/>
  <c r="A42" i="5"/>
  <c r="A42" i="6" l="1"/>
  <c r="B41" i="6"/>
  <c r="C41" i="6"/>
  <c r="E41" i="6" s="1"/>
  <c r="A43" i="5"/>
  <c r="B42" i="5"/>
  <c r="C42" i="5"/>
  <c r="D41" i="5"/>
  <c r="B42" i="6" l="1"/>
  <c r="A43" i="6"/>
  <c r="C42" i="6"/>
  <c r="E42" i="6" s="1"/>
  <c r="D42" i="5"/>
  <c r="B43" i="5"/>
  <c r="A44" i="5"/>
  <c r="C43" i="5"/>
  <c r="A44" i="6" l="1"/>
  <c r="B43" i="6"/>
  <c r="C43" i="6"/>
  <c r="E43" i="6" s="1"/>
  <c r="A45" i="5"/>
  <c r="C44" i="5"/>
  <c r="B44" i="5"/>
  <c r="D43" i="5"/>
  <c r="D44" i="5" l="1"/>
  <c r="B44" i="6"/>
  <c r="C44" i="6"/>
  <c r="E44" i="6" s="1"/>
  <c r="A45" i="6"/>
  <c r="B45" i="5"/>
  <c r="C45" i="5"/>
  <c r="A46" i="5"/>
  <c r="A46" i="6" l="1"/>
  <c r="C45" i="6"/>
  <c r="E45" i="6" s="1"/>
  <c r="B45" i="6"/>
  <c r="A47" i="5"/>
  <c r="B46" i="5"/>
  <c r="C46" i="5"/>
  <c r="D45" i="5"/>
  <c r="B46" i="6" l="1"/>
  <c r="C46" i="6"/>
  <c r="E46" i="6" s="1"/>
  <c r="A47" i="6"/>
  <c r="D46" i="5"/>
  <c r="B47" i="5"/>
  <c r="C47" i="5"/>
  <c r="A48" i="5"/>
  <c r="A48" i="6" l="1"/>
  <c r="C47" i="6"/>
  <c r="E47" i="6" s="1"/>
  <c r="B47" i="6"/>
  <c r="A49" i="5"/>
  <c r="C48" i="5"/>
  <c r="B48" i="5"/>
  <c r="D47" i="5"/>
  <c r="D48" i="5" l="1"/>
  <c r="B48" i="6"/>
  <c r="A49" i="6"/>
  <c r="C48" i="6"/>
  <c r="E48" i="6" s="1"/>
  <c r="B49" i="5"/>
  <c r="C49" i="5"/>
  <c r="A50" i="5"/>
  <c r="A50" i="6" l="1"/>
  <c r="B49" i="6"/>
  <c r="C49" i="6"/>
  <c r="E49" i="6" s="1"/>
  <c r="C50" i="5"/>
  <c r="A51" i="5"/>
  <c r="B50" i="5"/>
  <c r="D49" i="5"/>
  <c r="D50" i="5" l="1"/>
  <c r="C50" i="6"/>
  <c r="E50" i="6" s="1"/>
  <c r="B50" i="6"/>
  <c r="A51" i="6"/>
  <c r="C51" i="5"/>
  <c r="A52" i="5"/>
  <c r="B51" i="5"/>
  <c r="D51" i="5" l="1"/>
  <c r="C51" i="6"/>
  <c r="E51" i="6" s="1"/>
  <c r="B51" i="6"/>
  <c r="A52" i="6"/>
  <c r="B52" i="5"/>
  <c r="A53" i="5"/>
  <c r="C52" i="5"/>
  <c r="A53" i="6" l="1"/>
  <c r="B52" i="6"/>
  <c r="C52" i="6"/>
  <c r="E52" i="6" s="1"/>
  <c r="C53" i="5"/>
  <c r="A54" i="5"/>
  <c r="B53" i="5"/>
  <c r="D52" i="5"/>
  <c r="D53" i="5" l="1"/>
  <c r="C53" i="6"/>
  <c r="E53" i="6" s="1"/>
  <c r="A54" i="6"/>
  <c r="B53" i="6"/>
  <c r="A55" i="5"/>
  <c r="C54" i="5"/>
  <c r="B54" i="5"/>
  <c r="D54" i="5" l="1"/>
  <c r="C54" i="6"/>
  <c r="E54" i="6" s="1"/>
  <c r="A55" i="6"/>
  <c r="B54" i="6"/>
  <c r="C55" i="5"/>
  <c r="B55" i="5"/>
  <c r="A56" i="5"/>
  <c r="D55" i="5" l="1"/>
  <c r="C55" i="6"/>
  <c r="E55" i="6" s="1"/>
  <c r="B55" i="6"/>
  <c r="A56" i="6"/>
  <c r="A57" i="5"/>
  <c r="B56" i="5"/>
  <c r="C56" i="5"/>
  <c r="A57" i="6" l="1"/>
  <c r="C56" i="6"/>
  <c r="E56" i="6" s="1"/>
  <c r="B56" i="6"/>
  <c r="D56" i="5"/>
  <c r="C57" i="5"/>
  <c r="A58" i="5"/>
  <c r="B57" i="5"/>
  <c r="D57" i="5" l="1"/>
  <c r="C57" i="6"/>
  <c r="E57" i="6" s="1"/>
  <c r="B57" i="6"/>
  <c r="A58" i="6"/>
  <c r="C58" i="5"/>
  <c r="B58" i="5"/>
  <c r="A59" i="5"/>
  <c r="D58" i="5" l="1"/>
  <c r="C58" i="6"/>
  <c r="E58" i="6" s="1"/>
  <c r="A59" i="6"/>
  <c r="B58" i="6"/>
  <c r="C59" i="5"/>
  <c r="B59" i="5"/>
  <c r="A60" i="5"/>
  <c r="D59" i="5" l="1"/>
  <c r="C59" i="6"/>
  <c r="E59" i="6" s="1"/>
  <c r="A60" i="6"/>
  <c r="B59" i="6"/>
  <c r="A61" i="5"/>
  <c r="C60" i="5"/>
  <c r="B60" i="5"/>
  <c r="D60" i="5" l="1"/>
  <c r="B60" i="6"/>
  <c r="C60" i="6"/>
  <c r="E60" i="6" s="1"/>
  <c r="A61" i="6"/>
  <c r="C61" i="5"/>
  <c r="A62" i="5"/>
  <c r="B61" i="5"/>
  <c r="D61" i="5" s="1"/>
  <c r="C61" i="6" l="1"/>
  <c r="E61" i="6" s="1"/>
  <c r="B61" i="6"/>
  <c r="A62" i="6"/>
  <c r="A63" i="5"/>
  <c r="C62" i="5"/>
  <c r="B62" i="5"/>
  <c r="B2" i="2"/>
  <c r="D2" i="2"/>
  <c r="B5" i="2"/>
  <c r="D62" i="5" l="1"/>
  <c r="A63" i="6"/>
  <c r="C62" i="6"/>
  <c r="E62" i="6" s="1"/>
  <c r="B62" i="6"/>
  <c r="C63" i="5"/>
  <c r="B63" i="5"/>
  <c r="A64" i="5"/>
  <c r="C88" i="2"/>
  <c r="C89" i="2"/>
  <c r="C93" i="2"/>
  <c r="C97" i="2"/>
  <c r="C101" i="2"/>
  <c r="C65" i="2"/>
  <c r="C69" i="2"/>
  <c r="C73" i="2"/>
  <c r="C77" i="2"/>
  <c r="C81" i="2"/>
  <c r="C85" i="2"/>
  <c r="C38" i="2"/>
  <c r="C46" i="2"/>
  <c r="C54" i="2"/>
  <c r="C59" i="2"/>
  <c r="C63" i="2"/>
  <c r="C14" i="2"/>
  <c r="C22" i="2"/>
  <c r="C30" i="2"/>
  <c r="C18" i="2"/>
  <c r="C27" i="2"/>
  <c r="C100" i="2"/>
  <c r="C72" i="2"/>
  <c r="C52" i="2"/>
  <c r="C39" i="2"/>
  <c r="C47" i="2"/>
  <c r="C55" i="2"/>
  <c r="C15" i="2"/>
  <c r="C23" i="2"/>
  <c r="C31" i="2"/>
  <c r="C26" i="2"/>
  <c r="C96" i="2"/>
  <c r="C80" i="2"/>
  <c r="C62" i="2"/>
  <c r="C53" i="2"/>
  <c r="C21" i="2"/>
  <c r="C90" i="2"/>
  <c r="C94" i="2"/>
  <c r="C98" i="2"/>
  <c r="C102" i="2"/>
  <c r="C66" i="2"/>
  <c r="C70" i="2"/>
  <c r="C74" i="2"/>
  <c r="C78" i="2"/>
  <c r="C82" i="2"/>
  <c r="C86" i="2"/>
  <c r="C40" i="2"/>
  <c r="C48" i="2"/>
  <c r="C56" i="2"/>
  <c r="C60" i="2"/>
  <c r="C64" i="2"/>
  <c r="C16" i="2"/>
  <c r="C24" i="2"/>
  <c r="C32" i="2"/>
  <c r="C10" i="2"/>
  <c r="C35" i="2"/>
  <c r="C104" i="2"/>
  <c r="C68" i="2"/>
  <c r="C84" i="2"/>
  <c r="C12" i="2"/>
  <c r="C41" i="2"/>
  <c r="C49" i="2"/>
  <c r="C17" i="2"/>
  <c r="C25" i="2"/>
  <c r="C33" i="2"/>
  <c r="C61" i="2"/>
  <c r="C92" i="2"/>
  <c r="C76" i="2"/>
  <c r="C58" i="2"/>
  <c r="C37" i="2"/>
  <c r="C13" i="2"/>
  <c r="C91" i="2"/>
  <c r="C95" i="2"/>
  <c r="C99" i="2"/>
  <c r="C103" i="2"/>
  <c r="C67" i="2"/>
  <c r="C71" i="2"/>
  <c r="C75" i="2"/>
  <c r="C79" i="2"/>
  <c r="C83" i="2"/>
  <c r="C87" i="2"/>
  <c r="C42" i="2"/>
  <c r="C50" i="2"/>
  <c r="C57" i="2"/>
  <c r="C34" i="2"/>
  <c r="C36" i="2"/>
  <c r="C28" i="2"/>
  <c r="C43" i="2"/>
  <c r="C51" i="2"/>
  <c r="C11" i="2"/>
  <c r="C19" i="2"/>
  <c r="C44" i="2"/>
  <c r="C20" i="2"/>
  <c r="C45" i="2"/>
  <c r="C29" i="2"/>
  <c r="B88" i="2"/>
  <c r="D88" i="2" s="1"/>
  <c r="B93" i="2"/>
  <c r="D93" i="2" s="1"/>
  <c r="B100" i="2"/>
  <c r="B72" i="2"/>
  <c r="B81" i="2"/>
  <c r="D81" i="2" s="1"/>
  <c r="B36" i="2"/>
  <c r="B55" i="2"/>
  <c r="D55" i="2" s="1"/>
  <c r="B62" i="2"/>
  <c r="D62" i="2" s="1"/>
  <c r="B17" i="2"/>
  <c r="B25" i="2"/>
  <c r="B33" i="2"/>
  <c r="D33" i="2" s="1"/>
  <c r="B53" i="2"/>
  <c r="D53" i="2" s="1"/>
  <c r="B13" i="2"/>
  <c r="B94" i="2"/>
  <c r="B66" i="2"/>
  <c r="D66" i="2" s="1"/>
  <c r="B80" i="2"/>
  <c r="D80" i="2" s="1"/>
  <c r="B47" i="2"/>
  <c r="D47" i="2" s="1"/>
  <c r="B21" i="2"/>
  <c r="B97" i="2"/>
  <c r="B16" i="2"/>
  <c r="B104" i="2"/>
  <c r="D104" i="2" s="1"/>
  <c r="B57" i="2"/>
  <c r="D57" i="2" s="1"/>
  <c r="B91" i="2"/>
  <c r="D91" i="2" s="1"/>
  <c r="B98" i="2"/>
  <c r="D98" i="2" s="1"/>
  <c r="B65" i="2"/>
  <c r="B70" i="2"/>
  <c r="D70" i="2" s="1"/>
  <c r="B79" i="2"/>
  <c r="B86" i="2"/>
  <c r="B43" i="2"/>
  <c r="D43" i="2" s="1"/>
  <c r="B49" i="2"/>
  <c r="B52" i="2"/>
  <c r="D52" i="2" s="1"/>
  <c r="B60" i="2"/>
  <c r="D60" i="2" s="1"/>
  <c r="B20" i="2"/>
  <c r="B28" i="2"/>
  <c r="B75" i="2"/>
  <c r="B82" i="2"/>
  <c r="B61" i="2"/>
  <c r="D61" i="2" s="1"/>
  <c r="B92" i="2"/>
  <c r="D92" i="2" s="1"/>
  <c r="B24" i="2"/>
  <c r="D24" i="2" s="1"/>
  <c r="B76" i="2"/>
  <c r="D76" i="2" s="1"/>
  <c r="B85" i="2"/>
  <c r="D85" i="2" s="1"/>
  <c r="B19" i="2"/>
  <c r="B35" i="2"/>
  <c r="B96" i="2"/>
  <c r="D96" i="2" s="1"/>
  <c r="B103" i="2"/>
  <c r="D103" i="2" s="1"/>
  <c r="B68" i="2"/>
  <c r="D68" i="2" s="1"/>
  <c r="B77" i="2"/>
  <c r="D77" i="2" s="1"/>
  <c r="B84" i="2"/>
  <c r="D84" i="2" s="1"/>
  <c r="B37" i="2"/>
  <c r="B40" i="2"/>
  <c r="B46" i="2"/>
  <c r="B58" i="2"/>
  <c r="B10" i="2"/>
  <c r="B15" i="2"/>
  <c r="D15" i="2" s="1"/>
  <c r="B23" i="2"/>
  <c r="D23" i="2" s="1"/>
  <c r="B31" i="2"/>
  <c r="D31" i="2" s="1"/>
  <c r="B89" i="2"/>
  <c r="D89" i="2" s="1"/>
  <c r="B101" i="2"/>
  <c r="B56" i="2"/>
  <c r="D56" i="2" s="1"/>
  <c r="B63" i="2"/>
  <c r="D63" i="2" s="1"/>
  <c r="B18" i="2"/>
  <c r="D18" i="2" s="1"/>
  <c r="B26" i="2"/>
  <c r="B34" i="2"/>
  <c r="D34" i="2" s="1"/>
  <c r="B73" i="2"/>
  <c r="D73" i="2" s="1"/>
  <c r="B41" i="2"/>
  <c r="B87" i="2"/>
  <c r="D87" i="2" s="1"/>
  <c r="B69" i="2"/>
  <c r="B14" i="2"/>
  <c r="D14" i="2" s="1"/>
  <c r="B54" i="2"/>
  <c r="B11" i="2"/>
  <c r="D11" i="2" s="1"/>
  <c r="B51" i="2"/>
  <c r="D51" i="2" s="1"/>
  <c r="B90" i="2"/>
  <c r="D90" i="2" s="1"/>
  <c r="B95" i="2"/>
  <c r="D95" i="2" s="1"/>
  <c r="B102" i="2"/>
  <c r="D102" i="2" s="1"/>
  <c r="B67" i="2"/>
  <c r="B74" i="2"/>
  <c r="D74" i="2" s="1"/>
  <c r="B83" i="2"/>
  <c r="D83" i="2" s="1"/>
  <c r="B39" i="2"/>
  <c r="D39" i="2" s="1"/>
  <c r="B42" i="2"/>
  <c r="D42" i="2" s="1"/>
  <c r="B45" i="2"/>
  <c r="D45" i="2" s="1"/>
  <c r="B48" i="2"/>
  <c r="D48" i="2" s="1"/>
  <c r="B64" i="2"/>
  <c r="D64" i="2" s="1"/>
  <c r="B12" i="2"/>
  <c r="B22" i="2"/>
  <c r="D22" i="2" s="1"/>
  <c r="B30" i="2"/>
  <c r="D30" i="2" s="1"/>
  <c r="B99" i="2"/>
  <c r="D99" i="2" s="1"/>
  <c r="B44" i="2"/>
  <c r="D44" i="2" s="1"/>
  <c r="B50" i="2"/>
  <c r="D50" i="2" s="1"/>
  <c r="B29" i="2"/>
  <c r="B71" i="2"/>
  <c r="B78" i="2"/>
  <c r="B38" i="2"/>
  <c r="B59" i="2"/>
  <c r="B32" i="2"/>
  <c r="B27" i="2"/>
  <c r="D27" i="2" s="1"/>
  <c r="D63" i="5" l="1"/>
  <c r="C63" i="6"/>
  <c r="E63" i="6" s="1"/>
  <c r="B63" i="6"/>
  <c r="A64" i="6"/>
  <c r="A65" i="5"/>
  <c r="C64" i="5"/>
  <c r="B64" i="5"/>
  <c r="B105" i="2"/>
  <c r="D35" i="2"/>
  <c r="D36" i="2"/>
  <c r="D19" i="2"/>
  <c r="D25" i="2"/>
  <c r="D13" i="2"/>
  <c r="D71" i="2"/>
  <c r="D29" i="2"/>
  <c r="D41" i="2"/>
  <c r="D37" i="2"/>
  <c r="D20" i="2"/>
  <c r="D65" i="2"/>
  <c r="D17" i="2"/>
  <c r="D94" i="2"/>
  <c r="D38" i="2"/>
  <c r="D58" i="2"/>
  <c r="D82" i="2"/>
  <c r="D86" i="2"/>
  <c r="D16" i="2"/>
  <c r="D72" i="2"/>
  <c r="D10" i="2"/>
  <c r="D78" i="2"/>
  <c r="D12" i="2"/>
  <c r="D67" i="2"/>
  <c r="D69" i="2"/>
  <c r="D46" i="2"/>
  <c r="D75" i="2"/>
  <c r="D79" i="2"/>
  <c r="D97" i="2"/>
  <c r="D100" i="2"/>
  <c r="D32" i="2"/>
  <c r="D26" i="2"/>
  <c r="D49" i="2"/>
  <c r="D59" i="2"/>
  <c r="D54" i="2"/>
  <c r="D101" i="2"/>
  <c r="D40" i="2"/>
  <c r="D28" i="2"/>
  <c r="D21" i="2"/>
  <c r="C64" i="6" l="1"/>
  <c r="E64" i="6" s="1"/>
  <c r="A65" i="6"/>
  <c r="B64" i="6"/>
  <c r="D64" i="5"/>
  <c r="C65" i="5"/>
  <c r="B65" i="5"/>
  <c r="A66" i="5"/>
  <c r="D105" i="2"/>
  <c r="D65" i="5" l="1"/>
  <c r="C65" i="6"/>
  <c r="E65" i="6" s="1"/>
  <c r="B65" i="6"/>
  <c r="A66" i="6"/>
  <c r="C66" i="5"/>
  <c r="B66" i="5"/>
  <c r="A67" i="5"/>
  <c r="E10" i="2"/>
  <c r="E18" i="2"/>
  <c r="E26" i="2"/>
  <c r="E34" i="2"/>
  <c r="E42" i="2"/>
  <c r="E50" i="2"/>
  <c r="E58" i="2"/>
  <c r="E66" i="2"/>
  <c r="E74" i="2"/>
  <c r="E82" i="2"/>
  <c r="E90" i="2"/>
  <c r="E98" i="2"/>
  <c r="E11" i="2"/>
  <c r="E19" i="2"/>
  <c r="E27" i="2"/>
  <c r="E35" i="2"/>
  <c r="E43" i="2"/>
  <c r="E51" i="2"/>
  <c r="E59" i="2"/>
  <c r="E67" i="2"/>
  <c r="E75" i="2"/>
  <c r="E83" i="2"/>
  <c r="E91" i="2"/>
  <c r="E99" i="2"/>
  <c r="E12" i="2"/>
  <c r="E20" i="2"/>
  <c r="H20" i="2" s="1"/>
  <c r="E28" i="2"/>
  <c r="E36" i="2"/>
  <c r="E44" i="2"/>
  <c r="E52" i="2"/>
  <c r="E60" i="2"/>
  <c r="E68" i="2"/>
  <c r="E76" i="2"/>
  <c r="E84" i="2"/>
  <c r="E92" i="2"/>
  <c r="E100" i="2"/>
  <c r="E48" i="2"/>
  <c r="E88" i="2"/>
  <c r="E13" i="2"/>
  <c r="E21" i="2"/>
  <c r="E29" i="2"/>
  <c r="E37" i="2"/>
  <c r="I37" i="2" s="1"/>
  <c r="E45" i="2"/>
  <c r="E53" i="2"/>
  <c r="E61" i="2"/>
  <c r="E69" i="2"/>
  <c r="E77" i="2"/>
  <c r="E85" i="2"/>
  <c r="E93" i="2"/>
  <c r="E101" i="2"/>
  <c r="E104" i="2"/>
  <c r="E14" i="2"/>
  <c r="E22" i="2"/>
  <c r="E30" i="2"/>
  <c r="E38" i="2"/>
  <c r="E46" i="2"/>
  <c r="E54" i="2"/>
  <c r="E62" i="2"/>
  <c r="E70" i="2"/>
  <c r="E78" i="2"/>
  <c r="E86" i="2"/>
  <c r="E94" i="2"/>
  <c r="E102" i="2"/>
  <c r="E24" i="2"/>
  <c r="E96" i="2"/>
  <c r="E15" i="2"/>
  <c r="E23" i="2"/>
  <c r="E31" i="2"/>
  <c r="E39" i="2"/>
  <c r="E47" i="2"/>
  <c r="E55" i="2"/>
  <c r="E63" i="2"/>
  <c r="E71" i="2"/>
  <c r="E79" i="2"/>
  <c r="E87" i="2"/>
  <c r="E95" i="2"/>
  <c r="E103" i="2"/>
  <c r="E56" i="2"/>
  <c r="E72" i="2"/>
  <c r="E16" i="2"/>
  <c r="E40" i="2"/>
  <c r="E64" i="2"/>
  <c r="E17" i="2"/>
  <c r="E25" i="2"/>
  <c r="E33" i="2"/>
  <c r="E41" i="2"/>
  <c r="E49" i="2"/>
  <c r="E57" i="2"/>
  <c r="E65" i="2"/>
  <c r="E73" i="2"/>
  <c r="E81" i="2"/>
  <c r="E89" i="2"/>
  <c r="E97" i="2"/>
  <c r="E9" i="2"/>
  <c r="E32" i="2"/>
  <c r="E80" i="2"/>
  <c r="H37" i="2"/>
  <c r="L37" i="2"/>
  <c r="K37" i="2"/>
  <c r="M37" i="2"/>
  <c r="N37" i="2"/>
  <c r="M20" i="2"/>
  <c r="N20" i="2"/>
  <c r="I20" i="2"/>
  <c r="J20" i="2"/>
  <c r="K20" i="2"/>
  <c r="L20" i="2"/>
  <c r="I10" i="2"/>
  <c r="H10" i="2"/>
  <c r="J10" i="2"/>
  <c r="K10" i="2"/>
  <c r="L10" i="2"/>
  <c r="M10" i="2"/>
  <c r="N10" i="2"/>
  <c r="I29" i="2"/>
  <c r="J29" i="2"/>
  <c r="H29" i="2"/>
  <c r="L29" i="2"/>
  <c r="M29" i="2"/>
  <c r="N29" i="2"/>
  <c r="K29" i="2"/>
  <c r="D66" i="5" l="1"/>
  <c r="C66" i="6"/>
  <c r="E66" i="6" s="1"/>
  <c r="B66" i="6"/>
  <c r="A67" i="6"/>
  <c r="C67" i="5"/>
  <c r="A68" i="5"/>
  <c r="B67" i="5"/>
  <c r="J37" i="2"/>
  <c r="M80" i="2"/>
  <c r="N80" i="2"/>
  <c r="J80" i="2"/>
  <c r="L80" i="2"/>
  <c r="H80" i="2"/>
  <c r="I80" i="2"/>
  <c r="K80" i="2"/>
  <c r="I57" i="2"/>
  <c r="K57" i="2"/>
  <c r="J57" i="2"/>
  <c r="N57" i="2"/>
  <c r="M57" i="2"/>
  <c r="H57" i="2"/>
  <c r="L57" i="2"/>
  <c r="H16" i="2"/>
  <c r="I16" i="2"/>
  <c r="L16" i="2"/>
  <c r="M16" i="2"/>
  <c r="I63" i="2"/>
  <c r="J63" i="2"/>
  <c r="H63" i="2"/>
  <c r="L63" i="2"/>
  <c r="M63" i="2"/>
  <c r="K63" i="2"/>
  <c r="N63" i="2"/>
  <c r="L24" i="2"/>
  <c r="N24" i="2"/>
  <c r="J24" i="2"/>
  <c r="H24" i="2"/>
  <c r="M24" i="2"/>
  <c r="I24" i="2"/>
  <c r="K24" i="2"/>
  <c r="N46" i="2"/>
  <c r="H46" i="2"/>
  <c r="M46" i="2"/>
  <c r="J46" i="2"/>
  <c r="K46" i="2"/>
  <c r="L46" i="2"/>
  <c r="I46" i="2"/>
  <c r="N85" i="2"/>
  <c r="J85" i="2"/>
  <c r="M85" i="2"/>
  <c r="H85" i="2"/>
  <c r="K85" i="2"/>
  <c r="I85" i="2"/>
  <c r="L85" i="2"/>
  <c r="K21" i="2"/>
  <c r="I21" i="2"/>
  <c r="J21" i="2"/>
  <c r="H21" i="2"/>
  <c r="M21" i="2"/>
  <c r="N21" i="2"/>
  <c r="L21" i="2"/>
  <c r="K68" i="2"/>
  <c r="H68" i="2"/>
  <c r="M68" i="2"/>
  <c r="J68" i="2"/>
  <c r="N68" i="2"/>
  <c r="L68" i="2"/>
  <c r="I68" i="2"/>
  <c r="J99" i="2"/>
  <c r="K99" i="2"/>
  <c r="L99" i="2"/>
  <c r="H99" i="2"/>
  <c r="M99" i="2"/>
  <c r="I99" i="2"/>
  <c r="N99" i="2"/>
  <c r="M35" i="2"/>
  <c r="N35" i="2"/>
  <c r="J35" i="2"/>
  <c r="I35" i="2"/>
  <c r="K35" i="2"/>
  <c r="L35" i="2"/>
  <c r="H35" i="2"/>
  <c r="I66" i="2"/>
  <c r="L66" i="2"/>
  <c r="N66" i="2"/>
  <c r="M66" i="2"/>
  <c r="J66" i="2"/>
  <c r="K66" i="2"/>
  <c r="H66" i="2"/>
  <c r="I32" i="2"/>
  <c r="K32" i="2"/>
  <c r="N32" i="2"/>
  <c r="J32" i="2"/>
  <c r="M32" i="2"/>
  <c r="H32" i="2"/>
  <c r="L32" i="2"/>
  <c r="M55" i="2"/>
  <c r="I55" i="2"/>
  <c r="N55" i="2"/>
  <c r="J55" i="2"/>
  <c r="H55" i="2"/>
  <c r="L55" i="2"/>
  <c r="K55" i="2"/>
  <c r="L13" i="2"/>
  <c r="M13" i="2"/>
  <c r="N13" i="2"/>
  <c r="K13" i="2"/>
  <c r="I13" i="2"/>
  <c r="J13" i="2"/>
  <c r="H13" i="2"/>
  <c r="I27" i="2"/>
  <c r="J27" i="2"/>
  <c r="K27" i="2"/>
  <c r="M27" i="2"/>
  <c r="N27" i="2"/>
  <c r="L27" i="2"/>
  <c r="H27" i="2"/>
  <c r="M56" i="2"/>
  <c r="N56" i="2"/>
  <c r="H56" i="2"/>
  <c r="J56" i="2"/>
  <c r="K56" i="2"/>
  <c r="I56" i="2"/>
  <c r="L56" i="2"/>
  <c r="H30" i="2"/>
  <c r="K30" i="2"/>
  <c r="N30" i="2"/>
  <c r="L30" i="2"/>
  <c r="M30" i="2"/>
  <c r="J30" i="2"/>
  <c r="I30" i="2"/>
  <c r="M88" i="2"/>
  <c r="H88" i="2"/>
  <c r="J88" i="2"/>
  <c r="N88" i="2"/>
  <c r="L88" i="2"/>
  <c r="K88" i="2"/>
  <c r="I88" i="2"/>
  <c r="K52" i="2"/>
  <c r="N52" i="2"/>
  <c r="L52" i="2"/>
  <c r="M52" i="2"/>
  <c r="H52" i="2"/>
  <c r="I52" i="2"/>
  <c r="J52" i="2"/>
  <c r="K83" i="2"/>
  <c r="J83" i="2"/>
  <c r="N83" i="2"/>
  <c r="M83" i="2"/>
  <c r="L83" i="2"/>
  <c r="H83" i="2"/>
  <c r="I83" i="2"/>
  <c r="I33" i="2"/>
  <c r="L33" i="2"/>
  <c r="J33" i="2"/>
  <c r="K33" i="2"/>
  <c r="H33" i="2"/>
  <c r="N33" i="2"/>
  <c r="M33" i="2"/>
  <c r="N86" i="2"/>
  <c r="H86" i="2"/>
  <c r="I86" i="2"/>
  <c r="M86" i="2"/>
  <c r="J86" i="2"/>
  <c r="K86" i="2"/>
  <c r="L86" i="2"/>
  <c r="M48" i="2"/>
  <c r="J48" i="2"/>
  <c r="K48" i="2"/>
  <c r="N48" i="2"/>
  <c r="I48" i="2"/>
  <c r="H48" i="2"/>
  <c r="L48" i="2"/>
  <c r="M11" i="2"/>
  <c r="N11" i="2"/>
  <c r="I11" i="2"/>
  <c r="J11" i="2"/>
  <c r="K11" i="2"/>
  <c r="L11" i="2"/>
  <c r="H11" i="2"/>
  <c r="I89" i="2"/>
  <c r="L89" i="2"/>
  <c r="H89" i="2"/>
  <c r="J89" i="2"/>
  <c r="K89" i="2"/>
  <c r="N89" i="2"/>
  <c r="M89" i="2"/>
  <c r="J95" i="2"/>
  <c r="I95" i="2"/>
  <c r="L95" i="2"/>
  <c r="N95" i="2"/>
  <c r="K95" i="2"/>
  <c r="H95" i="2"/>
  <c r="M95" i="2"/>
  <c r="N14" i="2"/>
  <c r="J14" i="2"/>
  <c r="K14" i="2"/>
  <c r="L14" i="2"/>
  <c r="I14" i="2"/>
  <c r="H14" i="2"/>
  <c r="M14" i="2"/>
  <c r="N36" i="2"/>
  <c r="H36" i="2"/>
  <c r="L36" i="2"/>
  <c r="I36" i="2"/>
  <c r="J36" i="2"/>
  <c r="K36" i="2"/>
  <c r="M36" i="2"/>
  <c r="K67" i="2"/>
  <c r="H67" i="2"/>
  <c r="I67" i="2"/>
  <c r="M67" i="2"/>
  <c r="J67" i="2"/>
  <c r="L67" i="2"/>
  <c r="N67" i="2"/>
  <c r="H17" i="2"/>
  <c r="N17" i="2"/>
  <c r="K17" i="2"/>
  <c r="M17" i="2"/>
  <c r="L17" i="2"/>
  <c r="I17" i="2"/>
  <c r="J17" i="2"/>
  <c r="M23" i="2"/>
  <c r="N23" i="2"/>
  <c r="H23" i="2"/>
  <c r="I23" i="2"/>
  <c r="J23" i="2"/>
  <c r="K23" i="2"/>
  <c r="L23" i="2"/>
  <c r="M104" i="2"/>
  <c r="J104" i="2"/>
  <c r="L104" i="2"/>
  <c r="H104" i="2"/>
  <c r="I104" i="2"/>
  <c r="K104" i="2"/>
  <c r="N104" i="2"/>
  <c r="I45" i="2"/>
  <c r="L45" i="2"/>
  <c r="J45" i="2"/>
  <c r="M45" i="2"/>
  <c r="H45" i="2"/>
  <c r="N45" i="2"/>
  <c r="K45" i="2"/>
  <c r="K92" i="2"/>
  <c r="M92" i="2"/>
  <c r="J92" i="2"/>
  <c r="N92" i="2"/>
  <c r="I92" i="2"/>
  <c r="L92" i="2"/>
  <c r="H92" i="2"/>
  <c r="I28" i="2"/>
  <c r="J28" i="2"/>
  <c r="L28" i="2"/>
  <c r="K28" i="2"/>
  <c r="N28" i="2"/>
  <c r="M28" i="2"/>
  <c r="H28" i="2"/>
  <c r="K59" i="2"/>
  <c r="J59" i="2"/>
  <c r="I59" i="2"/>
  <c r="H59" i="2"/>
  <c r="N59" i="2"/>
  <c r="M59" i="2"/>
  <c r="L59" i="2"/>
  <c r="I90" i="2"/>
  <c r="N90" i="2"/>
  <c r="K90" i="2"/>
  <c r="H90" i="2"/>
  <c r="J90" i="2"/>
  <c r="M90" i="2"/>
  <c r="L90" i="2"/>
  <c r="M26" i="2"/>
  <c r="I26" i="2"/>
  <c r="J26" i="2"/>
  <c r="H26" i="2"/>
  <c r="K26" i="2"/>
  <c r="L26" i="2"/>
  <c r="N26" i="2"/>
  <c r="M72" i="2"/>
  <c r="K72" i="2"/>
  <c r="I72" i="2"/>
  <c r="N72" i="2"/>
  <c r="J72" i="2"/>
  <c r="H72" i="2"/>
  <c r="L72" i="2"/>
  <c r="H38" i="2"/>
  <c r="I38" i="2"/>
  <c r="N38" i="2"/>
  <c r="M38" i="2"/>
  <c r="K38" i="2"/>
  <c r="L38" i="2"/>
  <c r="J38" i="2"/>
  <c r="K60" i="2"/>
  <c r="H60" i="2"/>
  <c r="I60" i="2"/>
  <c r="M60" i="2"/>
  <c r="J60" i="2"/>
  <c r="L60" i="2"/>
  <c r="N60" i="2"/>
  <c r="K91" i="2"/>
  <c r="H91" i="2"/>
  <c r="J91" i="2"/>
  <c r="I91" i="2"/>
  <c r="L91" i="2"/>
  <c r="N91" i="2"/>
  <c r="M91" i="2"/>
  <c r="E105" i="2"/>
  <c r="N9" i="2"/>
  <c r="M9" i="2"/>
  <c r="K9" i="2"/>
  <c r="I9" i="2"/>
  <c r="L9" i="2"/>
  <c r="H9" i="2"/>
  <c r="J9" i="2"/>
  <c r="H94" i="2"/>
  <c r="M94" i="2"/>
  <c r="K94" i="2"/>
  <c r="I94" i="2"/>
  <c r="J94" i="2"/>
  <c r="N94" i="2"/>
  <c r="L94" i="2"/>
  <c r="K50" i="2"/>
  <c r="L50" i="2"/>
  <c r="N50" i="2"/>
  <c r="H50" i="2"/>
  <c r="I50" i="2"/>
  <c r="J50" i="2"/>
  <c r="M50" i="2"/>
  <c r="I97" i="2"/>
  <c r="J97" i="2"/>
  <c r="H97" i="2"/>
  <c r="M97" i="2"/>
  <c r="L97" i="2"/>
  <c r="N97" i="2"/>
  <c r="K97" i="2"/>
  <c r="L39" i="2"/>
  <c r="M39" i="2"/>
  <c r="N39" i="2"/>
  <c r="J39" i="2"/>
  <c r="K39" i="2"/>
  <c r="H39" i="2"/>
  <c r="I39" i="2"/>
  <c r="K61" i="2"/>
  <c r="I61" i="2"/>
  <c r="J61" i="2"/>
  <c r="N61" i="2"/>
  <c r="H61" i="2"/>
  <c r="L61" i="2"/>
  <c r="M61" i="2"/>
  <c r="K75" i="2"/>
  <c r="L75" i="2"/>
  <c r="J75" i="2"/>
  <c r="M75" i="2"/>
  <c r="N75" i="2"/>
  <c r="H75" i="2"/>
  <c r="I75" i="2"/>
  <c r="H78" i="2"/>
  <c r="I78" i="2"/>
  <c r="L78" i="2"/>
  <c r="J78" i="2"/>
  <c r="K78" i="2"/>
  <c r="M78" i="2"/>
  <c r="N78" i="2"/>
  <c r="I100" i="2"/>
  <c r="K100" i="2"/>
  <c r="N100" i="2"/>
  <c r="H100" i="2"/>
  <c r="J100" i="2"/>
  <c r="L100" i="2"/>
  <c r="M100" i="2"/>
  <c r="I98" i="2"/>
  <c r="H98" i="2"/>
  <c r="L98" i="2"/>
  <c r="K98" i="2"/>
  <c r="J98" i="2"/>
  <c r="M98" i="2"/>
  <c r="N98" i="2"/>
  <c r="N16" i="2"/>
  <c r="M87" i="2"/>
  <c r="N87" i="2"/>
  <c r="K87" i="2"/>
  <c r="J87" i="2"/>
  <c r="I87" i="2"/>
  <c r="H87" i="2"/>
  <c r="L87" i="2"/>
  <c r="I73" i="2"/>
  <c r="N73" i="2"/>
  <c r="M73" i="2"/>
  <c r="H73" i="2"/>
  <c r="K73" i="2"/>
  <c r="J73" i="2"/>
  <c r="L73" i="2"/>
  <c r="M64" i="2"/>
  <c r="H64" i="2"/>
  <c r="K64" i="2"/>
  <c r="N64" i="2"/>
  <c r="I64" i="2"/>
  <c r="L64" i="2"/>
  <c r="J64" i="2"/>
  <c r="J79" i="2"/>
  <c r="I79" i="2"/>
  <c r="M79" i="2"/>
  <c r="H79" i="2"/>
  <c r="K79" i="2"/>
  <c r="L79" i="2"/>
  <c r="N79" i="2"/>
  <c r="H15" i="2"/>
  <c r="I15" i="2"/>
  <c r="K15" i="2"/>
  <c r="J15" i="2"/>
  <c r="L15" i="2"/>
  <c r="M15" i="2"/>
  <c r="N15" i="2"/>
  <c r="H62" i="2"/>
  <c r="I62" i="2"/>
  <c r="J62" i="2"/>
  <c r="K62" i="2"/>
  <c r="L62" i="2"/>
  <c r="N62" i="2"/>
  <c r="M62" i="2"/>
  <c r="N101" i="2"/>
  <c r="M101" i="2"/>
  <c r="H101" i="2"/>
  <c r="I101" i="2"/>
  <c r="J101" i="2"/>
  <c r="K101" i="2"/>
  <c r="L101" i="2"/>
  <c r="K84" i="2"/>
  <c r="N84" i="2"/>
  <c r="M84" i="2"/>
  <c r="I84" i="2"/>
  <c r="J84" i="2"/>
  <c r="L84" i="2"/>
  <c r="H84" i="2"/>
  <c r="K51" i="2"/>
  <c r="M51" i="2"/>
  <c r="I51" i="2"/>
  <c r="L51" i="2"/>
  <c r="H51" i="2"/>
  <c r="N51" i="2"/>
  <c r="J51" i="2"/>
  <c r="I82" i="2"/>
  <c r="H82" i="2"/>
  <c r="N82" i="2"/>
  <c r="L82" i="2"/>
  <c r="K82" i="2"/>
  <c r="M82" i="2"/>
  <c r="J82" i="2"/>
  <c r="I18" i="2"/>
  <c r="L18" i="2"/>
  <c r="H18" i="2"/>
  <c r="J18" i="2"/>
  <c r="K18" i="2"/>
  <c r="N18" i="2"/>
  <c r="M18" i="2"/>
  <c r="J49" i="2"/>
  <c r="H49" i="2"/>
  <c r="K49" i="2"/>
  <c r="L49" i="2"/>
  <c r="M49" i="2"/>
  <c r="I49" i="2"/>
  <c r="N49" i="2"/>
  <c r="N102" i="2"/>
  <c r="I102" i="2"/>
  <c r="H102" i="2"/>
  <c r="J102" i="2"/>
  <c r="K102" i="2"/>
  <c r="L102" i="2"/>
  <c r="M102" i="2"/>
  <c r="M77" i="2"/>
  <c r="I77" i="2"/>
  <c r="L77" i="2"/>
  <c r="J77" i="2"/>
  <c r="K77" i="2"/>
  <c r="H77" i="2"/>
  <c r="N77" i="2"/>
  <c r="I58" i="2"/>
  <c r="N58" i="2"/>
  <c r="K58" i="2"/>
  <c r="J58" i="2"/>
  <c r="L58" i="2"/>
  <c r="M58" i="2"/>
  <c r="H58" i="2"/>
  <c r="J41" i="2"/>
  <c r="N41" i="2"/>
  <c r="H41" i="2"/>
  <c r="K41" i="2"/>
  <c r="L41" i="2"/>
  <c r="M41" i="2"/>
  <c r="I41" i="2"/>
  <c r="H47" i="2"/>
  <c r="K47" i="2"/>
  <c r="M47" i="2"/>
  <c r="I47" i="2"/>
  <c r="J47" i="2"/>
  <c r="L47" i="2"/>
  <c r="N47" i="2"/>
  <c r="K69" i="2"/>
  <c r="N69" i="2"/>
  <c r="I69" i="2"/>
  <c r="L69" i="2"/>
  <c r="J69" i="2"/>
  <c r="M69" i="2"/>
  <c r="H69" i="2"/>
  <c r="L19" i="2"/>
  <c r="H19" i="2"/>
  <c r="J19" i="2"/>
  <c r="N19" i="2"/>
  <c r="M19" i="2"/>
  <c r="I19" i="2"/>
  <c r="K19" i="2"/>
  <c r="I103" i="2"/>
  <c r="L103" i="2"/>
  <c r="M103" i="2"/>
  <c r="H103" i="2"/>
  <c r="K103" i="2"/>
  <c r="N103" i="2"/>
  <c r="J103" i="2"/>
  <c r="J22" i="2"/>
  <c r="K22" i="2"/>
  <c r="L22" i="2"/>
  <c r="H22" i="2"/>
  <c r="M22" i="2"/>
  <c r="N22" i="2"/>
  <c r="I22" i="2"/>
  <c r="J44" i="2"/>
  <c r="M44" i="2"/>
  <c r="H44" i="2"/>
  <c r="N44" i="2"/>
  <c r="I44" i="2"/>
  <c r="K44" i="2"/>
  <c r="L44" i="2"/>
  <c r="N42" i="2"/>
  <c r="M42" i="2"/>
  <c r="I42" i="2"/>
  <c r="H42" i="2"/>
  <c r="J42" i="2"/>
  <c r="K42" i="2"/>
  <c r="L42" i="2"/>
  <c r="H25" i="2"/>
  <c r="K25" i="2"/>
  <c r="L25" i="2"/>
  <c r="M25" i="2"/>
  <c r="I25" i="2"/>
  <c r="N25" i="2"/>
  <c r="J25" i="2"/>
  <c r="I31" i="2"/>
  <c r="J31" i="2"/>
  <c r="K31" i="2"/>
  <c r="L31" i="2"/>
  <c r="M31" i="2"/>
  <c r="N31" i="2"/>
  <c r="H31" i="2"/>
  <c r="H53" i="2"/>
  <c r="N53" i="2"/>
  <c r="L53" i="2"/>
  <c r="M53" i="2"/>
  <c r="K53" i="2"/>
  <c r="I53" i="2"/>
  <c r="J53" i="2"/>
  <c r="L34" i="2"/>
  <c r="H34" i="2"/>
  <c r="N34" i="2"/>
  <c r="M34" i="2"/>
  <c r="J34" i="2"/>
  <c r="K34" i="2"/>
  <c r="I34" i="2"/>
  <c r="I81" i="2"/>
  <c r="M81" i="2"/>
  <c r="N81" i="2"/>
  <c r="J81" i="2"/>
  <c r="L81" i="2"/>
  <c r="H81" i="2"/>
  <c r="K81" i="2"/>
  <c r="N70" i="2"/>
  <c r="M70" i="2"/>
  <c r="J70" i="2"/>
  <c r="H70" i="2"/>
  <c r="K70" i="2"/>
  <c r="I70" i="2"/>
  <c r="L70" i="2"/>
  <c r="J16" i="2"/>
  <c r="K16" i="2"/>
  <c r="I65" i="2"/>
  <c r="J65" i="2"/>
  <c r="L65" i="2"/>
  <c r="M65" i="2"/>
  <c r="K65" i="2"/>
  <c r="H65" i="2"/>
  <c r="N65" i="2"/>
  <c r="H40" i="2"/>
  <c r="J40" i="2"/>
  <c r="M40" i="2"/>
  <c r="N40" i="2"/>
  <c r="K40" i="2"/>
  <c r="I40" i="2"/>
  <c r="L40" i="2"/>
  <c r="I71" i="2"/>
  <c r="H71" i="2"/>
  <c r="L71" i="2"/>
  <c r="K71" i="2"/>
  <c r="M71" i="2"/>
  <c r="N71" i="2"/>
  <c r="J71" i="2"/>
  <c r="M96" i="2"/>
  <c r="I96" i="2"/>
  <c r="K96" i="2"/>
  <c r="L96" i="2"/>
  <c r="N96" i="2"/>
  <c r="J96" i="2"/>
  <c r="H96" i="2"/>
  <c r="M54" i="2"/>
  <c r="K54" i="2"/>
  <c r="N54" i="2"/>
  <c r="I54" i="2"/>
  <c r="H54" i="2"/>
  <c r="J54" i="2"/>
  <c r="L54" i="2"/>
  <c r="M93" i="2"/>
  <c r="I93" i="2"/>
  <c r="J93" i="2"/>
  <c r="H93" i="2"/>
  <c r="L93" i="2"/>
  <c r="K93" i="2"/>
  <c r="N93" i="2"/>
  <c r="K76" i="2"/>
  <c r="L76" i="2"/>
  <c r="N76" i="2"/>
  <c r="H76" i="2"/>
  <c r="J76" i="2"/>
  <c r="M76" i="2"/>
  <c r="I76" i="2"/>
  <c r="H12" i="2"/>
  <c r="M12" i="2"/>
  <c r="N12" i="2"/>
  <c r="K12" i="2"/>
  <c r="J12" i="2"/>
  <c r="L12" i="2"/>
  <c r="I12" i="2"/>
  <c r="M43" i="2"/>
  <c r="K43" i="2"/>
  <c r="H43" i="2"/>
  <c r="N43" i="2"/>
  <c r="J43" i="2"/>
  <c r="L43" i="2"/>
  <c r="I43" i="2"/>
  <c r="I74" i="2"/>
  <c r="M74" i="2"/>
  <c r="J74" i="2"/>
  <c r="K74" i="2"/>
  <c r="L74" i="2"/>
  <c r="N74" i="2"/>
  <c r="H74" i="2"/>
  <c r="C67" i="6" l="1"/>
  <c r="E67" i="6" s="1"/>
  <c r="B67" i="6"/>
  <c r="A68" i="6"/>
  <c r="D67" i="5"/>
  <c r="B68" i="5"/>
  <c r="A69" i="5"/>
  <c r="C68" i="5"/>
  <c r="L105" i="2"/>
  <c r="I105" i="2"/>
  <c r="K105" i="2"/>
  <c r="N105" i="2"/>
  <c r="J105" i="2"/>
  <c r="M105" i="2"/>
  <c r="H105" i="2"/>
  <c r="C68" i="6" l="1"/>
  <c r="E68" i="6" s="1"/>
  <c r="A69" i="6"/>
  <c r="B68" i="6"/>
  <c r="C69" i="5"/>
  <c r="A70" i="5"/>
  <c r="B69" i="5"/>
  <c r="D68" i="5"/>
  <c r="D69" i="5" l="1"/>
  <c r="C69" i="6"/>
  <c r="E69" i="6" s="1"/>
  <c r="A70" i="6"/>
  <c r="B69" i="6"/>
  <c r="A71" i="5"/>
  <c r="C70" i="5"/>
  <c r="B70" i="5"/>
  <c r="D70" i="5" s="1"/>
  <c r="C70" i="6" l="1"/>
  <c r="E70" i="6" s="1"/>
  <c r="B70" i="6"/>
  <c r="A71" i="6"/>
  <c r="C71" i="5"/>
  <c r="B71" i="5"/>
  <c r="D71" i="5" s="1"/>
  <c r="A72" i="5"/>
  <c r="C71" i="6" l="1"/>
  <c r="E71" i="6" s="1"/>
  <c r="B71" i="6"/>
  <c r="A72" i="6"/>
  <c r="C72" i="5"/>
  <c r="A73" i="5"/>
  <c r="B72" i="5"/>
  <c r="D72" i="5" l="1"/>
  <c r="A73" i="6"/>
  <c r="C72" i="6"/>
  <c r="E72" i="6" s="1"/>
  <c r="B72" i="6"/>
  <c r="C73" i="5"/>
  <c r="A74" i="5"/>
  <c r="B73" i="5"/>
  <c r="D73" i="5" s="1"/>
  <c r="C73" i="6" l="1"/>
  <c r="E73" i="6" s="1"/>
  <c r="B73" i="6"/>
  <c r="A74" i="6"/>
  <c r="C74" i="5"/>
  <c r="B74" i="5"/>
  <c r="D74" i="5" s="1"/>
  <c r="A75" i="5"/>
  <c r="C74" i="6" l="1"/>
  <c r="E74" i="6" s="1"/>
  <c r="B74" i="6"/>
  <c r="A75" i="6"/>
  <c r="C75" i="5"/>
  <c r="A76" i="5"/>
  <c r="B75" i="5"/>
  <c r="D75" i="5" l="1"/>
  <c r="C75" i="6"/>
  <c r="E75" i="6" s="1"/>
  <c r="A76" i="6"/>
  <c r="B75" i="6"/>
  <c r="A77" i="5"/>
  <c r="B76" i="5"/>
  <c r="C76" i="5"/>
  <c r="B76" i="6" l="1"/>
  <c r="A77" i="6"/>
  <c r="C76" i="6"/>
  <c r="E76" i="6" s="1"/>
  <c r="D76" i="5"/>
  <c r="C77" i="5"/>
  <c r="A78" i="5"/>
  <c r="B77" i="5"/>
  <c r="D77" i="5" l="1"/>
  <c r="C77" i="6"/>
  <c r="E77" i="6" s="1"/>
  <c r="B77" i="6"/>
  <c r="A78" i="6"/>
  <c r="A79" i="5"/>
  <c r="C78" i="5"/>
  <c r="B78" i="5"/>
  <c r="D78" i="5" s="1"/>
  <c r="A79" i="6" l="1"/>
  <c r="C78" i="6"/>
  <c r="E78" i="6" s="1"/>
  <c r="B78" i="6"/>
  <c r="C79" i="5"/>
  <c r="A80" i="5"/>
  <c r="B79" i="5"/>
  <c r="D79" i="5" l="1"/>
  <c r="C79" i="6"/>
  <c r="E79" i="6" s="1"/>
  <c r="A80" i="6"/>
  <c r="B79" i="6"/>
  <c r="A81" i="5"/>
  <c r="C80" i="5"/>
  <c r="B80" i="5"/>
  <c r="D80" i="5" l="1"/>
  <c r="B80" i="6"/>
  <c r="C80" i="6"/>
  <c r="E80" i="6" s="1"/>
  <c r="A81" i="6"/>
  <c r="C81" i="5"/>
  <c r="B81" i="5"/>
  <c r="D81" i="5" s="1"/>
  <c r="A82" i="5"/>
  <c r="C81" i="6" l="1"/>
  <c r="E81" i="6" s="1"/>
  <c r="B81" i="6"/>
  <c r="A82" i="6"/>
  <c r="C82" i="5"/>
  <c r="B82" i="5"/>
  <c r="A83" i="5"/>
  <c r="D82" i="5" l="1"/>
  <c r="A83" i="6"/>
  <c r="C82" i="6"/>
  <c r="E82" i="6" s="1"/>
  <c r="B82" i="6"/>
  <c r="C83" i="5"/>
  <c r="A84" i="5"/>
  <c r="B83" i="5"/>
  <c r="D83" i="5" l="1"/>
  <c r="C83" i="6"/>
  <c r="E83" i="6" s="1"/>
  <c r="B83" i="6"/>
  <c r="A84" i="6"/>
  <c r="B84" i="5"/>
  <c r="A85" i="5"/>
  <c r="C84" i="5"/>
  <c r="C84" i="6" l="1"/>
  <c r="E84" i="6" s="1"/>
  <c r="B84" i="6"/>
  <c r="A85" i="6"/>
  <c r="C85" i="5"/>
  <c r="A86" i="5"/>
  <c r="B85" i="5"/>
  <c r="D85" i="5" s="1"/>
  <c r="D84" i="5"/>
  <c r="C85" i="6" l="1"/>
  <c r="E85" i="6" s="1"/>
  <c r="B85" i="6"/>
  <c r="A86" i="6"/>
  <c r="A87" i="5"/>
  <c r="C86" i="5"/>
  <c r="B86" i="5"/>
  <c r="D86" i="5" l="1"/>
  <c r="A87" i="6"/>
  <c r="C86" i="6"/>
  <c r="E86" i="6" s="1"/>
  <c r="B86" i="6"/>
  <c r="C87" i="5"/>
  <c r="B87" i="5"/>
  <c r="A88" i="5"/>
  <c r="D87" i="5" l="1"/>
  <c r="C87" i="6"/>
  <c r="E87" i="6" s="1"/>
  <c r="B87" i="6"/>
  <c r="A88" i="6"/>
  <c r="C88" i="5"/>
  <c r="B88" i="5"/>
  <c r="A89" i="5"/>
  <c r="D88" i="5" l="1"/>
  <c r="A89" i="6"/>
  <c r="B88" i="6"/>
  <c r="C88" i="6"/>
  <c r="E88" i="6" s="1"/>
  <c r="C89" i="5"/>
  <c r="A90" i="5"/>
  <c r="B89" i="5"/>
  <c r="D89" i="5" l="1"/>
  <c r="C89" i="6"/>
  <c r="E89" i="6" s="1"/>
  <c r="B89" i="6"/>
  <c r="A90" i="6"/>
  <c r="A91" i="5"/>
  <c r="C90" i="5"/>
  <c r="B90" i="5"/>
  <c r="D90" i="5" l="1"/>
  <c r="C90" i="6"/>
  <c r="E90" i="6" s="1"/>
  <c r="B90" i="6"/>
  <c r="A91" i="6"/>
  <c r="C91" i="5"/>
  <c r="B91" i="5"/>
  <c r="D91" i="5" s="1"/>
  <c r="A92" i="5"/>
  <c r="C91" i="6" l="1"/>
  <c r="E91" i="6" s="1"/>
  <c r="B91" i="6"/>
  <c r="A92" i="6"/>
  <c r="C92" i="5"/>
  <c r="B92" i="5"/>
  <c r="A93" i="5"/>
  <c r="D92" i="5" l="1"/>
  <c r="C92" i="6"/>
  <c r="E92" i="6" s="1"/>
  <c r="B92" i="6"/>
  <c r="A93" i="6"/>
  <c r="C93" i="5"/>
  <c r="B93" i="5"/>
  <c r="A94" i="5"/>
  <c r="D93" i="5" l="1"/>
  <c r="C93" i="6"/>
  <c r="E93" i="6" s="1"/>
  <c r="B93" i="6"/>
  <c r="A94" i="6"/>
  <c r="A95" i="5"/>
  <c r="C94" i="5"/>
  <c r="B94" i="5"/>
  <c r="D94" i="5" l="1"/>
  <c r="A95" i="6"/>
  <c r="C94" i="6"/>
  <c r="E94" i="6" s="1"/>
  <c r="B94" i="6"/>
  <c r="C95" i="5"/>
  <c r="B95" i="5"/>
  <c r="D95" i="5" s="1"/>
  <c r="A96" i="5"/>
  <c r="C95" i="6" l="1"/>
  <c r="E95" i="6" s="1"/>
  <c r="B95" i="6"/>
  <c r="A96" i="6"/>
  <c r="A97" i="5"/>
  <c r="C96" i="5"/>
  <c r="B96" i="5"/>
  <c r="D96" i="5" l="1"/>
  <c r="C96" i="6"/>
  <c r="E96" i="6" s="1"/>
  <c r="B96" i="6"/>
  <c r="A97" i="6"/>
  <c r="C97" i="5"/>
  <c r="B97" i="5"/>
  <c r="A98" i="5"/>
  <c r="D97" i="5" l="1"/>
  <c r="C97" i="6"/>
  <c r="E97" i="6" s="1"/>
  <c r="B97" i="6"/>
  <c r="A98" i="6"/>
  <c r="A99" i="5"/>
  <c r="C98" i="5"/>
  <c r="B98" i="5"/>
  <c r="D98" i="5" l="1"/>
  <c r="A99" i="6"/>
  <c r="C98" i="6"/>
  <c r="E98" i="6" s="1"/>
  <c r="B98" i="6"/>
  <c r="C99" i="5"/>
  <c r="B99" i="5"/>
  <c r="A100" i="5"/>
  <c r="D99" i="5" l="1"/>
  <c r="C99" i="6"/>
  <c r="E99" i="6" s="1"/>
  <c r="B99" i="6"/>
  <c r="A100" i="6"/>
  <c r="B100" i="5"/>
  <c r="A101" i="5"/>
  <c r="C100" i="5"/>
  <c r="C100" i="6" l="1"/>
  <c r="E100" i="6" s="1"/>
  <c r="B100" i="6"/>
  <c r="A101" i="6"/>
  <c r="C101" i="5"/>
  <c r="B101" i="5"/>
  <c r="A102" i="5"/>
  <c r="D100" i="5"/>
  <c r="D101" i="5" l="1"/>
  <c r="C101" i="6"/>
  <c r="E101" i="6" s="1"/>
  <c r="B101" i="6"/>
  <c r="A102" i="6"/>
  <c r="C102" i="5"/>
  <c r="B102" i="5"/>
  <c r="A103" i="5"/>
  <c r="D102" i="5" l="1"/>
  <c r="A103" i="6"/>
  <c r="C102" i="6"/>
  <c r="E102" i="6" s="1"/>
  <c r="B102" i="6"/>
  <c r="C103" i="5"/>
  <c r="B103" i="5"/>
  <c r="A104" i="5"/>
  <c r="D103" i="5" l="1"/>
  <c r="C103" i="6"/>
  <c r="E103" i="6" s="1"/>
  <c r="B103" i="6"/>
  <c r="A104" i="6"/>
  <c r="C104" i="5"/>
  <c r="B104" i="5"/>
  <c r="C104" i="6" l="1"/>
  <c r="E104" i="6" s="1"/>
  <c r="B104" i="6"/>
  <c r="D104" i="5"/>
  <c r="B105" i="5"/>
  <c r="C105" i="5"/>
  <c r="B105" i="6" l="1"/>
  <c r="C105" i="6"/>
  <c r="D105" i="5"/>
  <c r="E105" i="6" l="1"/>
  <c r="E104" i="5"/>
  <c r="E97" i="5"/>
  <c r="E96" i="5"/>
  <c r="E86" i="5"/>
  <c r="E83" i="5"/>
  <c r="E70" i="5"/>
  <c r="E67" i="5"/>
  <c r="E54" i="5"/>
  <c r="E51" i="5"/>
  <c r="E89" i="5"/>
  <c r="E76" i="5"/>
  <c r="E73" i="5"/>
  <c r="E60" i="5"/>
  <c r="E57" i="5"/>
  <c r="E48" i="5"/>
  <c r="E46" i="5"/>
  <c r="E44" i="5"/>
  <c r="E42" i="5"/>
  <c r="E40" i="5"/>
  <c r="E103" i="5"/>
  <c r="E102" i="5"/>
  <c r="E95" i="5"/>
  <c r="E94" i="5"/>
  <c r="E82" i="5"/>
  <c r="E79" i="5"/>
  <c r="E66" i="5"/>
  <c r="E63" i="5"/>
  <c r="E50" i="5"/>
  <c r="E72" i="5"/>
  <c r="E71" i="5"/>
  <c r="E49" i="5"/>
  <c r="E38" i="5"/>
  <c r="E35" i="5"/>
  <c r="E99" i="5"/>
  <c r="E78" i="5"/>
  <c r="E77" i="5"/>
  <c r="E56" i="5"/>
  <c r="E55" i="5"/>
  <c r="E28" i="5"/>
  <c r="E100" i="5"/>
  <c r="E93" i="5"/>
  <c r="E84" i="5"/>
  <c r="E62" i="5"/>
  <c r="E61" i="5"/>
  <c r="E34" i="5"/>
  <c r="E31" i="5"/>
  <c r="E24" i="5"/>
  <c r="E9" i="5"/>
  <c r="E17" i="5"/>
  <c r="E90" i="5"/>
  <c r="E65" i="5"/>
  <c r="E59" i="5"/>
  <c r="E53" i="5"/>
  <c r="E32" i="5"/>
  <c r="E27" i="5"/>
  <c r="E26" i="5"/>
  <c r="E15" i="5"/>
  <c r="E12" i="5"/>
  <c r="E19" i="5"/>
  <c r="E88" i="5"/>
  <c r="E33" i="5"/>
  <c r="E101" i="5"/>
  <c r="E92" i="5"/>
  <c r="E80" i="5"/>
  <c r="E74" i="5"/>
  <c r="E68" i="5"/>
  <c r="E39" i="5"/>
  <c r="E11" i="5"/>
  <c r="E47" i="5"/>
  <c r="E85" i="5"/>
  <c r="E81" i="5"/>
  <c r="E37" i="5"/>
  <c r="E30" i="5"/>
  <c r="E21" i="5"/>
  <c r="E69" i="5"/>
  <c r="E20" i="5"/>
  <c r="E91" i="5"/>
  <c r="E75" i="5"/>
  <c r="E64" i="5"/>
  <c r="E58" i="5"/>
  <c r="E36" i="5"/>
  <c r="E18" i="5"/>
  <c r="E13" i="5"/>
  <c r="E10" i="5"/>
  <c r="E43" i="5"/>
  <c r="E23" i="5"/>
  <c r="E16" i="5"/>
  <c r="E14" i="5"/>
  <c r="E25" i="5"/>
  <c r="E52" i="5"/>
  <c r="E29" i="5"/>
  <c r="E98" i="5"/>
  <c r="E87" i="5"/>
  <c r="E45" i="5"/>
  <c r="E41" i="5"/>
  <c r="E22" i="5"/>
  <c r="F101" i="6" l="1"/>
  <c r="F100" i="6"/>
  <c r="F93" i="6"/>
  <c r="F92" i="6"/>
  <c r="F85" i="6"/>
  <c r="F84" i="6"/>
  <c r="F78" i="6"/>
  <c r="F75" i="6"/>
  <c r="F62" i="6"/>
  <c r="F59" i="6"/>
  <c r="F68" i="6"/>
  <c r="F65" i="6"/>
  <c r="F52" i="6"/>
  <c r="F49" i="6"/>
  <c r="F47" i="6"/>
  <c r="F45" i="6"/>
  <c r="F43" i="6"/>
  <c r="F41" i="6"/>
  <c r="F39" i="6"/>
  <c r="F104" i="6"/>
  <c r="F103" i="6"/>
  <c r="F98" i="6"/>
  <c r="F97" i="6"/>
  <c r="F91" i="6"/>
  <c r="F74" i="6"/>
  <c r="F71" i="6"/>
  <c r="F70" i="6"/>
  <c r="F67" i="6"/>
  <c r="F66" i="6"/>
  <c r="F63" i="6"/>
  <c r="F37" i="6"/>
  <c r="F35" i="6"/>
  <c r="F33" i="6"/>
  <c r="F31" i="6"/>
  <c r="F29" i="6"/>
  <c r="F27" i="6"/>
  <c r="F25" i="6"/>
  <c r="F23" i="6"/>
  <c r="F21" i="6"/>
  <c r="F19" i="6"/>
  <c r="F17" i="6"/>
  <c r="F15" i="6"/>
  <c r="F13" i="6"/>
  <c r="F11" i="6"/>
  <c r="F9" i="6"/>
  <c r="F77" i="6"/>
  <c r="F76" i="6"/>
  <c r="F73" i="6"/>
  <c r="F72" i="6"/>
  <c r="F69" i="6"/>
  <c r="F46" i="6"/>
  <c r="F30" i="6"/>
  <c r="F14" i="6"/>
  <c r="F89" i="6"/>
  <c r="F81" i="6"/>
  <c r="F55" i="6"/>
  <c r="F51" i="6"/>
  <c r="F36" i="6"/>
  <c r="F20" i="6"/>
  <c r="F40" i="6"/>
  <c r="F26" i="6"/>
  <c r="F102" i="6"/>
  <c r="F94" i="6"/>
  <c r="F86" i="6"/>
  <c r="F83" i="6"/>
  <c r="F58" i="6"/>
  <c r="F54" i="6"/>
  <c r="F50" i="6"/>
  <c r="F24" i="6"/>
  <c r="F95" i="6"/>
  <c r="F82" i="6"/>
  <c r="F79" i="6"/>
  <c r="F32" i="6"/>
  <c r="F12" i="6"/>
  <c r="F60" i="6"/>
  <c r="F42" i="6"/>
  <c r="F38" i="6"/>
  <c r="F88" i="6"/>
  <c r="F57" i="6"/>
  <c r="F44" i="6"/>
  <c r="F18" i="6"/>
  <c r="F90" i="6"/>
  <c r="F87" i="6"/>
  <c r="F10" i="6"/>
  <c r="F64" i="6"/>
  <c r="F56" i="6"/>
  <c r="F48" i="6"/>
  <c r="F22" i="6"/>
  <c r="F16" i="6"/>
  <c r="F99" i="6"/>
  <c r="F96" i="6"/>
  <c r="F80" i="6"/>
  <c r="F28" i="6"/>
  <c r="F61" i="6"/>
  <c r="F53" i="6"/>
  <c r="F34" i="6"/>
  <c r="I58" i="5"/>
  <c r="N58" i="5"/>
  <c r="M58" i="5"/>
  <c r="L58" i="5"/>
  <c r="K58" i="5"/>
  <c r="H58" i="5"/>
  <c r="J58" i="5"/>
  <c r="I80" i="5"/>
  <c r="N80" i="5"/>
  <c r="M80" i="5"/>
  <c r="L80" i="5"/>
  <c r="K80" i="5"/>
  <c r="J80" i="5"/>
  <c r="H80" i="5"/>
  <c r="I82" i="5"/>
  <c r="J82" i="5"/>
  <c r="H82" i="5"/>
  <c r="M82" i="5"/>
  <c r="L82" i="5"/>
  <c r="K82" i="5"/>
  <c r="N82" i="5"/>
  <c r="L27" i="5"/>
  <c r="K27" i="5"/>
  <c r="J27" i="5"/>
  <c r="I27" i="5"/>
  <c r="H27" i="5"/>
  <c r="M27" i="5"/>
  <c r="N27" i="5"/>
  <c r="M71" i="5"/>
  <c r="N71" i="5"/>
  <c r="L71" i="5"/>
  <c r="K71" i="5"/>
  <c r="H71" i="5"/>
  <c r="J71" i="5"/>
  <c r="I71" i="5"/>
  <c r="L37" i="5"/>
  <c r="J37" i="5"/>
  <c r="I37" i="5"/>
  <c r="H37" i="5"/>
  <c r="N37" i="5"/>
  <c r="M37" i="5"/>
  <c r="K37" i="5"/>
  <c r="I100" i="5"/>
  <c r="H100" i="5"/>
  <c r="M100" i="5"/>
  <c r="L100" i="5"/>
  <c r="K100" i="5"/>
  <c r="N100" i="5"/>
  <c r="J100" i="5"/>
  <c r="H38" i="5"/>
  <c r="N38" i="5"/>
  <c r="J38" i="5"/>
  <c r="I38" i="5"/>
  <c r="L38" i="5"/>
  <c r="K38" i="5"/>
  <c r="M38" i="5"/>
  <c r="L41" i="5"/>
  <c r="K41" i="5"/>
  <c r="J41" i="5"/>
  <c r="N41" i="5"/>
  <c r="M41" i="5"/>
  <c r="I41" i="5"/>
  <c r="H41" i="5"/>
  <c r="M81" i="5"/>
  <c r="L81" i="5"/>
  <c r="K81" i="5"/>
  <c r="J81" i="5"/>
  <c r="N81" i="5"/>
  <c r="I81" i="5"/>
  <c r="H81" i="5"/>
  <c r="M49" i="5"/>
  <c r="L49" i="5"/>
  <c r="K49" i="5"/>
  <c r="J49" i="5"/>
  <c r="N49" i="5"/>
  <c r="I49" i="5"/>
  <c r="H49" i="5"/>
  <c r="M67" i="5"/>
  <c r="N67" i="5"/>
  <c r="J67" i="5"/>
  <c r="I67" i="5"/>
  <c r="H67" i="5"/>
  <c r="L67" i="5"/>
  <c r="K67" i="5"/>
  <c r="M75" i="5"/>
  <c r="K75" i="5"/>
  <c r="J75" i="5"/>
  <c r="I75" i="5"/>
  <c r="N75" i="5"/>
  <c r="H75" i="5"/>
  <c r="L75" i="5"/>
  <c r="L31" i="5"/>
  <c r="I31" i="5"/>
  <c r="H31" i="5"/>
  <c r="N31" i="5"/>
  <c r="M31" i="5"/>
  <c r="K31" i="5"/>
  <c r="J31" i="5"/>
  <c r="M57" i="5"/>
  <c r="H57" i="5"/>
  <c r="L57" i="5"/>
  <c r="K57" i="5"/>
  <c r="J57" i="5"/>
  <c r="I57" i="5"/>
  <c r="N57" i="5"/>
  <c r="L47" i="5"/>
  <c r="K47" i="5"/>
  <c r="J47" i="5"/>
  <c r="N47" i="5"/>
  <c r="M47" i="5"/>
  <c r="I47" i="5"/>
  <c r="H47" i="5"/>
  <c r="H34" i="5"/>
  <c r="J34" i="5"/>
  <c r="I34" i="5"/>
  <c r="M34" i="5"/>
  <c r="L34" i="5"/>
  <c r="K34" i="5"/>
  <c r="N34" i="5"/>
  <c r="I102" i="5"/>
  <c r="H102" i="5"/>
  <c r="K102" i="5"/>
  <c r="J102" i="5"/>
  <c r="N102" i="5"/>
  <c r="L102" i="5"/>
  <c r="M102" i="5"/>
  <c r="N10" i="5"/>
  <c r="M10" i="5"/>
  <c r="L10" i="5"/>
  <c r="K10" i="5"/>
  <c r="J10" i="5"/>
  <c r="I10" i="5"/>
  <c r="H10" i="5"/>
  <c r="I88" i="5"/>
  <c r="K88" i="5"/>
  <c r="J88" i="5"/>
  <c r="H88" i="5"/>
  <c r="M88" i="5"/>
  <c r="L88" i="5"/>
  <c r="N88" i="5"/>
  <c r="M61" i="5"/>
  <c r="N61" i="5"/>
  <c r="L61" i="5"/>
  <c r="I61" i="5"/>
  <c r="H61" i="5"/>
  <c r="J61" i="5"/>
  <c r="K61" i="5"/>
  <c r="M103" i="5"/>
  <c r="L103" i="5"/>
  <c r="I103" i="5"/>
  <c r="H103" i="5"/>
  <c r="K103" i="5"/>
  <c r="J103" i="5"/>
  <c r="N103" i="5"/>
  <c r="J13" i="5"/>
  <c r="N13" i="5"/>
  <c r="M13" i="5"/>
  <c r="L13" i="5"/>
  <c r="K13" i="5"/>
  <c r="I13" i="5"/>
  <c r="H13" i="5"/>
  <c r="J19" i="5"/>
  <c r="I19" i="5"/>
  <c r="H19" i="5"/>
  <c r="N19" i="5"/>
  <c r="M19" i="5"/>
  <c r="L19" i="5"/>
  <c r="K19" i="5"/>
  <c r="I62" i="5"/>
  <c r="L62" i="5"/>
  <c r="K62" i="5"/>
  <c r="J62" i="5"/>
  <c r="M62" i="5"/>
  <c r="H62" i="5"/>
  <c r="N62" i="5"/>
  <c r="I78" i="5"/>
  <c r="L78" i="5"/>
  <c r="K78" i="5"/>
  <c r="J78" i="5"/>
  <c r="H78" i="5"/>
  <c r="N78" i="5"/>
  <c r="M78" i="5"/>
  <c r="M63" i="5"/>
  <c r="I63" i="5"/>
  <c r="H63" i="5"/>
  <c r="N63" i="5"/>
  <c r="L63" i="5"/>
  <c r="K63" i="5"/>
  <c r="J63" i="5"/>
  <c r="H40" i="5"/>
  <c r="N40" i="5"/>
  <c r="L40" i="5"/>
  <c r="K40" i="5"/>
  <c r="J40" i="5"/>
  <c r="M40" i="5"/>
  <c r="I40" i="5"/>
  <c r="I76" i="5"/>
  <c r="H76" i="5"/>
  <c r="N76" i="5"/>
  <c r="M76" i="5"/>
  <c r="L76" i="5"/>
  <c r="K76" i="5"/>
  <c r="J76" i="5"/>
  <c r="I96" i="5"/>
  <c r="H96" i="5"/>
  <c r="K96" i="5"/>
  <c r="J96" i="5"/>
  <c r="N96" i="5"/>
  <c r="M96" i="5"/>
  <c r="L96" i="5"/>
  <c r="N22" i="5"/>
  <c r="M22" i="5"/>
  <c r="L22" i="5"/>
  <c r="K22" i="5"/>
  <c r="J22" i="5"/>
  <c r="I22" i="5"/>
  <c r="H22" i="5"/>
  <c r="E105" i="5"/>
  <c r="J9" i="5"/>
  <c r="N9" i="5"/>
  <c r="M9" i="5"/>
  <c r="H9" i="5"/>
  <c r="L9" i="5"/>
  <c r="K9" i="5"/>
  <c r="I9" i="5"/>
  <c r="H46" i="5"/>
  <c r="N46" i="5"/>
  <c r="M46" i="5"/>
  <c r="I46" i="5"/>
  <c r="L46" i="5"/>
  <c r="K46" i="5"/>
  <c r="J46" i="5"/>
  <c r="I64" i="5"/>
  <c r="N64" i="5"/>
  <c r="M64" i="5"/>
  <c r="L64" i="5"/>
  <c r="K64" i="5"/>
  <c r="J64" i="5"/>
  <c r="H64" i="5"/>
  <c r="N24" i="5"/>
  <c r="M24" i="5"/>
  <c r="L24" i="5"/>
  <c r="K24" i="5"/>
  <c r="I24" i="5"/>
  <c r="H24" i="5"/>
  <c r="J24" i="5"/>
  <c r="H48" i="5"/>
  <c r="N48" i="5"/>
  <c r="L48" i="5"/>
  <c r="M48" i="5"/>
  <c r="I48" i="5"/>
  <c r="K48" i="5"/>
  <c r="J48" i="5"/>
  <c r="J23" i="5"/>
  <c r="I23" i="5"/>
  <c r="H23" i="5"/>
  <c r="L23" i="5"/>
  <c r="N23" i="5"/>
  <c r="M23" i="5"/>
  <c r="K23" i="5"/>
  <c r="M101" i="5"/>
  <c r="L101" i="5"/>
  <c r="K101" i="5"/>
  <c r="J101" i="5"/>
  <c r="I101" i="5"/>
  <c r="N101" i="5"/>
  <c r="H101" i="5"/>
  <c r="M55" i="5"/>
  <c r="N55" i="5"/>
  <c r="L55" i="5"/>
  <c r="K55" i="5"/>
  <c r="H55" i="5"/>
  <c r="J55" i="5"/>
  <c r="I55" i="5"/>
  <c r="I70" i="5"/>
  <c r="N70" i="5"/>
  <c r="M70" i="5"/>
  <c r="H70" i="5"/>
  <c r="L70" i="5"/>
  <c r="K70" i="5"/>
  <c r="J70" i="5"/>
  <c r="L43" i="5"/>
  <c r="K43" i="5"/>
  <c r="J43" i="5"/>
  <c r="N43" i="5"/>
  <c r="M43" i="5"/>
  <c r="I43" i="5"/>
  <c r="H43" i="5"/>
  <c r="L33" i="5"/>
  <c r="M33" i="5"/>
  <c r="K33" i="5"/>
  <c r="J33" i="5"/>
  <c r="I33" i="5"/>
  <c r="H33" i="5"/>
  <c r="N33" i="5"/>
  <c r="I56" i="5"/>
  <c r="K56" i="5"/>
  <c r="J56" i="5"/>
  <c r="H56" i="5"/>
  <c r="L56" i="5"/>
  <c r="M56" i="5"/>
  <c r="N56" i="5"/>
  <c r="I60" i="5"/>
  <c r="H60" i="5"/>
  <c r="N60" i="5"/>
  <c r="M60" i="5"/>
  <c r="L60" i="5"/>
  <c r="K60" i="5"/>
  <c r="J60" i="5"/>
  <c r="I98" i="5"/>
  <c r="H98" i="5"/>
  <c r="N98" i="5"/>
  <c r="M98" i="5"/>
  <c r="K98" i="5"/>
  <c r="L98" i="5"/>
  <c r="J98" i="5"/>
  <c r="J11" i="5"/>
  <c r="K11" i="5"/>
  <c r="I11" i="5"/>
  <c r="H11" i="5"/>
  <c r="M11" i="5"/>
  <c r="L11" i="5"/>
  <c r="N11" i="5"/>
  <c r="M77" i="5"/>
  <c r="N77" i="5"/>
  <c r="L77" i="5"/>
  <c r="H77" i="5"/>
  <c r="K77" i="5"/>
  <c r="J77" i="5"/>
  <c r="I77" i="5"/>
  <c r="M73" i="5"/>
  <c r="H73" i="5"/>
  <c r="K73" i="5"/>
  <c r="J73" i="5"/>
  <c r="I73" i="5"/>
  <c r="L73" i="5"/>
  <c r="N73" i="5"/>
  <c r="L29" i="5"/>
  <c r="N29" i="5"/>
  <c r="M29" i="5"/>
  <c r="K29" i="5"/>
  <c r="H29" i="5"/>
  <c r="J29" i="5"/>
  <c r="I29" i="5"/>
  <c r="L39" i="5"/>
  <c r="N39" i="5"/>
  <c r="M39" i="5"/>
  <c r="K39" i="5"/>
  <c r="J39" i="5"/>
  <c r="I39" i="5"/>
  <c r="H39" i="5"/>
  <c r="I52" i="5"/>
  <c r="M52" i="5"/>
  <c r="L52" i="5"/>
  <c r="K52" i="5"/>
  <c r="N52" i="5"/>
  <c r="J52" i="5"/>
  <c r="H52" i="5"/>
  <c r="J21" i="5"/>
  <c r="I21" i="5"/>
  <c r="H21" i="5"/>
  <c r="K21" i="5"/>
  <c r="N21" i="5"/>
  <c r="M21" i="5"/>
  <c r="L21" i="5"/>
  <c r="I68" i="5"/>
  <c r="M68" i="5"/>
  <c r="L68" i="5"/>
  <c r="K68" i="5"/>
  <c r="N68" i="5"/>
  <c r="J68" i="5"/>
  <c r="H68" i="5"/>
  <c r="N12" i="5"/>
  <c r="H12" i="5"/>
  <c r="M12" i="5"/>
  <c r="L12" i="5"/>
  <c r="K12" i="5"/>
  <c r="J12" i="5"/>
  <c r="I12" i="5"/>
  <c r="I90" i="5"/>
  <c r="H90" i="5"/>
  <c r="N90" i="5"/>
  <c r="M90" i="5"/>
  <c r="L90" i="5"/>
  <c r="K90" i="5"/>
  <c r="J90" i="5"/>
  <c r="I84" i="5"/>
  <c r="M84" i="5"/>
  <c r="L84" i="5"/>
  <c r="K84" i="5"/>
  <c r="J84" i="5"/>
  <c r="H84" i="5"/>
  <c r="N84" i="5"/>
  <c r="M99" i="5"/>
  <c r="L99" i="5"/>
  <c r="N99" i="5"/>
  <c r="K99" i="5"/>
  <c r="H99" i="5"/>
  <c r="J99" i="5"/>
  <c r="I99" i="5"/>
  <c r="I66" i="5"/>
  <c r="J66" i="5"/>
  <c r="H66" i="5"/>
  <c r="N66" i="5"/>
  <c r="M66" i="5"/>
  <c r="K66" i="5"/>
  <c r="L66" i="5"/>
  <c r="H42" i="5"/>
  <c r="N42" i="5"/>
  <c r="M42" i="5"/>
  <c r="L42" i="5"/>
  <c r="K42" i="5"/>
  <c r="J42" i="5"/>
  <c r="I42" i="5"/>
  <c r="M89" i="5"/>
  <c r="H89" i="5"/>
  <c r="J89" i="5"/>
  <c r="I89" i="5"/>
  <c r="N89" i="5"/>
  <c r="L89" i="5"/>
  <c r="K89" i="5"/>
  <c r="M97" i="5"/>
  <c r="L97" i="5"/>
  <c r="N97" i="5"/>
  <c r="K97" i="5"/>
  <c r="J97" i="5"/>
  <c r="I97" i="5"/>
  <c r="H97" i="5"/>
  <c r="N14" i="5"/>
  <c r="K14" i="5"/>
  <c r="J14" i="5"/>
  <c r="I14" i="5"/>
  <c r="H14" i="5"/>
  <c r="M14" i="5"/>
  <c r="L14" i="5"/>
  <c r="N26" i="5"/>
  <c r="M26" i="5"/>
  <c r="L26" i="5"/>
  <c r="H26" i="5"/>
  <c r="J26" i="5"/>
  <c r="I26" i="5"/>
  <c r="K26" i="5"/>
  <c r="I54" i="5"/>
  <c r="N54" i="5"/>
  <c r="M54" i="5"/>
  <c r="L54" i="5"/>
  <c r="K54" i="5"/>
  <c r="J54" i="5"/>
  <c r="H54" i="5"/>
  <c r="N16" i="5"/>
  <c r="M16" i="5"/>
  <c r="L16" i="5"/>
  <c r="K16" i="5"/>
  <c r="J16" i="5"/>
  <c r="I16" i="5"/>
  <c r="H16" i="5"/>
  <c r="I92" i="5"/>
  <c r="H92" i="5"/>
  <c r="M92" i="5"/>
  <c r="L92" i="5"/>
  <c r="K92" i="5"/>
  <c r="N92" i="5"/>
  <c r="J92" i="5"/>
  <c r="H28" i="5"/>
  <c r="I28" i="5"/>
  <c r="L28" i="5"/>
  <c r="K28" i="5"/>
  <c r="J28" i="5"/>
  <c r="N28" i="5"/>
  <c r="M28" i="5"/>
  <c r="I94" i="5"/>
  <c r="H94" i="5"/>
  <c r="K94" i="5"/>
  <c r="J94" i="5"/>
  <c r="N94" i="5"/>
  <c r="M94" i="5"/>
  <c r="L94" i="5"/>
  <c r="L45" i="5"/>
  <c r="K45" i="5"/>
  <c r="J45" i="5"/>
  <c r="N45" i="5"/>
  <c r="H45" i="5"/>
  <c r="M45" i="5"/>
  <c r="I45" i="5"/>
  <c r="M85" i="5"/>
  <c r="J85" i="5"/>
  <c r="I85" i="5"/>
  <c r="H85" i="5"/>
  <c r="N85" i="5"/>
  <c r="L85" i="5"/>
  <c r="K85" i="5"/>
  <c r="H32" i="5"/>
  <c r="N32" i="5"/>
  <c r="M32" i="5"/>
  <c r="I32" i="5"/>
  <c r="L32" i="5"/>
  <c r="K32" i="5"/>
  <c r="J32" i="5"/>
  <c r="M95" i="5"/>
  <c r="L95" i="5"/>
  <c r="I95" i="5"/>
  <c r="H95" i="5"/>
  <c r="J95" i="5"/>
  <c r="N95" i="5"/>
  <c r="K95" i="5"/>
  <c r="M87" i="5"/>
  <c r="N87" i="5"/>
  <c r="L87" i="5"/>
  <c r="K87" i="5"/>
  <c r="J87" i="5"/>
  <c r="I87" i="5"/>
  <c r="H87" i="5"/>
  <c r="M91" i="5"/>
  <c r="L91" i="5"/>
  <c r="N91" i="5"/>
  <c r="K91" i="5"/>
  <c r="J91" i="5"/>
  <c r="H91" i="5"/>
  <c r="I91" i="5"/>
  <c r="M53" i="5"/>
  <c r="J53" i="5"/>
  <c r="I53" i="5"/>
  <c r="H53" i="5"/>
  <c r="N53" i="5"/>
  <c r="K53" i="5"/>
  <c r="L53" i="5"/>
  <c r="I72" i="5"/>
  <c r="K72" i="5"/>
  <c r="J72" i="5"/>
  <c r="H72" i="5"/>
  <c r="N72" i="5"/>
  <c r="M72" i="5"/>
  <c r="L72" i="5"/>
  <c r="M83" i="5"/>
  <c r="N83" i="5"/>
  <c r="I83" i="5"/>
  <c r="H83" i="5"/>
  <c r="L83" i="5"/>
  <c r="K83" i="5"/>
  <c r="J83" i="5"/>
  <c r="N20" i="5"/>
  <c r="M20" i="5"/>
  <c r="L20" i="5"/>
  <c r="K20" i="5"/>
  <c r="I20" i="5"/>
  <c r="J20" i="5"/>
  <c r="H20" i="5"/>
  <c r="M59" i="5"/>
  <c r="K59" i="5"/>
  <c r="J59" i="5"/>
  <c r="I59" i="5"/>
  <c r="H59" i="5"/>
  <c r="N59" i="5"/>
  <c r="L59" i="5"/>
  <c r="I50" i="5"/>
  <c r="J50" i="5"/>
  <c r="H50" i="5"/>
  <c r="K50" i="5"/>
  <c r="M50" i="5"/>
  <c r="N50" i="5"/>
  <c r="L50" i="5"/>
  <c r="I86" i="5"/>
  <c r="N86" i="5"/>
  <c r="M86" i="5"/>
  <c r="L86" i="5"/>
  <c r="K86" i="5"/>
  <c r="J86" i="5"/>
  <c r="H86" i="5"/>
  <c r="M69" i="5"/>
  <c r="J69" i="5"/>
  <c r="I69" i="5"/>
  <c r="H69" i="5"/>
  <c r="N69" i="5"/>
  <c r="L69" i="5"/>
  <c r="K69" i="5"/>
  <c r="M65" i="5"/>
  <c r="L65" i="5"/>
  <c r="K65" i="5"/>
  <c r="J65" i="5"/>
  <c r="H65" i="5"/>
  <c r="I65" i="5"/>
  <c r="N65" i="5"/>
  <c r="N18" i="5"/>
  <c r="M18" i="5"/>
  <c r="L18" i="5"/>
  <c r="K18" i="5"/>
  <c r="J18" i="5"/>
  <c r="I18" i="5"/>
  <c r="H18" i="5"/>
  <c r="J25" i="5"/>
  <c r="I25" i="5"/>
  <c r="H25" i="5"/>
  <c r="M25" i="5"/>
  <c r="N25" i="5"/>
  <c r="L25" i="5"/>
  <c r="K25" i="5"/>
  <c r="H36" i="5"/>
  <c r="M36" i="5"/>
  <c r="L36" i="5"/>
  <c r="K36" i="5"/>
  <c r="J36" i="5"/>
  <c r="N36" i="5"/>
  <c r="I36" i="5"/>
  <c r="H30" i="5"/>
  <c r="L30" i="5"/>
  <c r="K30" i="5"/>
  <c r="J30" i="5"/>
  <c r="I30" i="5"/>
  <c r="N30" i="5"/>
  <c r="M30" i="5"/>
  <c r="I74" i="5"/>
  <c r="N74" i="5"/>
  <c r="M74" i="5"/>
  <c r="L74" i="5"/>
  <c r="K74" i="5"/>
  <c r="J74" i="5"/>
  <c r="H74" i="5"/>
  <c r="J15" i="5"/>
  <c r="H15" i="5"/>
  <c r="N15" i="5"/>
  <c r="M15" i="5"/>
  <c r="K15" i="5"/>
  <c r="L15" i="5"/>
  <c r="I15" i="5"/>
  <c r="J17" i="5"/>
  <c r="H17" i="5"/>
  <c r="M17" i="5"/>
  <c r="L17" i="5"/>
  <c r="K17" i="5"/>
  <c r="I17" i="5"/>
  <c r="N17" i="5"/>
  <c r="M93" i="5"/>
  <c r="L93" i="5"/>
  <c r="K93" i="5"/>
  <c r="J93" i="5"/>
  <c r="I93" i="5"/>
  <c r="N93" i="5"/>
  <c r="H93" i="5"/>
  <c r="L35" i="5"/>
  <c r="N35" i="5"/>
  <c r="M35" i="5"/>
  <c r="K35" i="5"/>
  <c r="J35" i="5"/>
  <c r="I35" i="5"/>
  <c r="H35" i="5"/>
  <c r="M79" i="5"/>
  <c r="I79" i="5"/>
  <c r="H79" i="5"/>
  <c r="L79" i="5"/>
  <c r="K79" i="5"/>
  <c r="J79" i="5"/>
  <c r="N79" i="5"/>
  <c r="H44" i="5"/>
  <c r="N44" i="5"/>
  <c r="M44" i="5"/>
  <c r="L44" i="5"/>
  <c r="J44" i="5"/>
  <c r="I44" i="5"/>
  <c r="K44" i="5"/>
  <c r="M51" i="5"/>
  <c r="N51" i="5"/>
  <c r="K51" i="5"/>
  <c r="J51" i="5"/>
  <c r="I51" i="5"/>
  <c r="L51" i="5"/>
  <c r="H51" i="5"/>
  <c r="I104" i="5"/>
  <c r="H104" i="5"/>
  <c r="N104" i="5"/>
  <c r="M104" i="5"/>
  <c r="L104" i="5"/>
  <c r="K104" i="5"/>
  <c r="J104" i="5"/>
  <c r="L34" i="6" l="1"/>
  <c r="O34" i="6"/>
  <c r="N34" i="6"/>
  <c r="M34" i="6"/>
  <c r="K34" i="6"/>
  <c r="J34" i="6"/>
  <c r="I34" i="6"/>
  <c r="L22" i="6"/>
  <c r="M22" i="6"/>
  <c r="J22" i="6"/>
  <c r="K22" i="6"/>
  <c r="N22" i="6"/>
  <c r="O22" i="6"/>
  <c r="I22" i="6"/>
  <c r="M44" i="6"/>
  <c r="L44" i="6"/>
  <c r="K44" i="6"/>
  <c r="J44" i="6"/>
  <c r="O44" i="6"/>
  <c r="N44" i="6"/>
  <c r="I44" i="6"/>
  <c r="N79" i="6"/>
  <c r="M79" i="6"/>
  <c r="O79" i="6"/>
  <c r="J79" i="6"/>
  <c r="I79" i="6"/>
  <c r="L79" i="6"/>
  <c r="K79" i="6"/>
  <c r="J86" i="6"/>
  <c r="I86" i="6"/>
  <c r="O86" i="6"/>
  <c r="L86" i="6"/>
  <c r="K86" i="6"/>
  <c r="N86" i="6"/>
  <c r="M86" i="6"/>
  <c r="N55" i="6"/>
  <c r="J55" i="6"/>
  <c r="I55" i="6"/>
  <c r="K55" i="6"/>
  <c r="L55" i="6"/>
  <c r="O55" i="6"/>
  <c r="M55" i="6"/>
  <c r="N73" i="6"/>
  <c r="M73" i="6"/>
  <c r="L73" i="6"/>
  <c r="I73" i="6"/>
  <c r="O73" i="6"/>
  <c r="K73" i="6"/>
  <c r="J73" i="6"/>
  <c r="L19" i="6"/>
  <c r="K19" i="6"/>
  <c r="J19" i="6"/>
  <c r="M19" i="6"/>
  <c r="O19" i="6"/>
  <c r="N19" i="6"/>
  <c r="I19" i="6"/>
  <c r="L35" i="6"/>
  <c r="K35" i="6"/>
  <c r="J35" i="6"/>
  <c r="M35" i="6"/>
  <c r="I35" i="6"/>
  <c r="O35" i="6"/>
  <c r="N35" i="6"/>
  <c r="N91" i="6"/>
  <c r="M91" i="6"/>
  <c r="J91" i="6"/>
  <c r="I91" i="6"/>
  <c r="O91" i="6"/>
  <c r="L91" i="6"/>
  <c r="K91" i="6"/>
  <c r="I45" i="6"/>
  <c r="K45" i="6"/>
  <c r="J45" i="6"/>
  <c r="O45" i="6"/>
  <c r="N45" i="6"/>
  <c r="M45" i="6"/>
  <c r="L45" i="6"/>
  <c r="N75" i="6"/>
  <c r="J75" i="6"/>
  <c r="I75" i="6"/>
  <c r="M75" i="6"/>
  <c r="L75" i="6"/>
  <c r="K75" i="6"/>
  <c r="O75" i="6"/>
  <c r="N53" i="6"/>
  <c r="O53" i="6"/>
  <c r="M53" i="6"/>
  <c r="L53" i="6"/>
  <c r="K53" i="6"/>
  <c r="J53" i="6"/>
  <c r="I53" i="6"/>
  <c r="M48" i="6"/>
  <c r="L48" i="6"/>
  <c r="N48" i="6"/>
  <c r="K48" i="6"/>
  <c r="J48" i="6"/>
  <c r="O48" i="6"/>
  <c r="I48" i="6"/>
  <c r="N57" i="6"/>
  <c r="M57" i="6"/>
  <c r="L57" i="6"/>
  <c r="O57" i="6"/>
  <c r="K57" i="6"/>
  <c r="J57" i="6"/>
  <c r="I57" i="6"/>
  <c r="J82" i="6"/>
  <c r="I82" i="6"/>
  <c r="L82" i="6"/>
  <c r="K82" i="6"/>
  <c r="O82" i="6"/>
  <c r="N82" i="6"/>
  <c r="M82" i="6"/>
  <c r="J94" i="6"/>
  <c r="I94" i="6"/>
  <c r="O94" i="6"/>
  <c r="N94" i="6"/>
  <c r="M94" i="6"/>
  <c r="L94" i="6"/>
  <c r="K94" i="6"/>
  <c r="N81" i="6"/>
  <c r="M81" i="6"/>
  <c r="L81" i="6"/>
  <c r="K81" i="6"/>
  <c r="O81" i="6"/>
  <c r="I81" i="6"/>
  <c r="J81" i="6"/>
  <c r="J76" i="6"/>
  <c r="N76" i="6"/>
  <c r="M76" i="6"/>
  <c r="I76" i="6"/>
  <c r="O76" i="6"/>
  <c r="L76" i="6"/>
  <c r="K76" i="6"/>
  <c r="O21" i="6"/>
  <c r="M21" i="6"/>
  <c r="N21" i="6"/>
  <c r="L21" i="6"/>
  <c r="K21" i="6"/>
  <c r="J21" i="6"/>
  <c r="I21" i="6"/>
  <c r="O37" i="6"/>
  <c r="N37" i="6"/>
  <c r="M37" i="6"/>
  <c r="L37" i="6"/>
  <c r="K37" i="6"/>
  <c r="J37" i="6"/>
  <c r="I37" i="6"/>
  <c r="N97" i="6"/>
  <c r="M97" i="6"/>
  <c r="L97" i="6"/>
  <c r="K97" i="6"/>
  <c r="I97" i="6"/>
  <c r="J97" i="6"/>
  <c r="O97" i="6"/>
  <c r="I47" i="6"/>
  <c r="L47" i="6"/>
  <c r="K47" i="6"/>
  <c r="J47" i="6"/>
  <c r="M47" i="6"/>
  <c r="O47" i="6"/>
  <c r="N47" i="6"/>
  <c r="J78" i="6"/>
  <c r="K78" i="6"/>
  <c r="I78" i="6"/>
  <c r="L78" i="6"/>
  <c r="M78" i="6"/>
  <c r="O78" i="6"/>
  <c r="N78" i="6"/>
  <c r="N61" i="6"/>
  <c r="K61" i="6"/>
  <c r="J61" i="6"/>
  <c r="O61" i="6"/>
  <c r="M61" i="6"/>
  <c r="L61" i="6"/>
  <c r="I61" i="6"/>
  <c r="J56" i="6"/>
  <c r="O56" i="6"/>
  <c r="M56" i="6"/>
  <c r="L56" i="6"/>
  <c r="K56" i="6"/>
  <c r="N56" i="6"/>
  <c r="I56" i="6"/>
  <c r="J88" i="6"/>
  <c r="I88" i="6"/>
  <c r="N88" i="6"/>
  <c r="M88" i="6"/>
  <c r="O88" i="6"/>
  <c r="L88" i="6"/>
  <c r="K88" i="6"/>
  <c r="N95" i="6"/>
  <c r="M95" i="6"/>
  <c r="O95" i="6"/>
  <c r="K95" i="6"/>
  <c r="J95" i="6"/>
  <c r="I95" i="6"/>
  <c r="L95" i="6"/>
  <c r="J102" i="6"/>
  <c r="I102" i="6"/>
  <c r="O102" i="6"/>
  <c r="N102" i="6"/>
  <c r="M102" i="6"/>
  <c r="L102" i="6"/>
  <c r="K102" i="6"/>
  <c r="N89" i="6"/>
  <c r="M89" i="6"/>
  <c r="L89" i="6"/>
  <c r="K89" i="6"/>
  <c r="I89" i="6"/>
  <c r="J89" i="6"/>
  <c r="O89" i="6"/>
  <c r="N77" i="6"/>
  <c r="K77" i="6"/>
  <c r="J77" i="6"/>
  <c r="I77" i="6"/>
  <c r="O77" i="6"/>
  <c r="M77" i="6"/>
  <c r="L77" i="6"/>
  <c r="J23" i="6"/>
  <c r="I23" i="6"/>
  <c r="K23" i="6"/>
  <c r="O23" i="6"/>
  <c r="N23" i="6"/>
  <c r="M23" i="6"/>
  <c r="L23" i="6"/>
  <c r="N63" i="6"/>
  <c r="O63" i="6"/>
  <c r="M63" i="6"/>
  <c r="K63" i="6"/>
  <c r="J63" i="6"/>
  <c r="I63" i="6"/>
  <c r="L63" i="6"/>
  <c r="J98" i="6"/>
  <c r="I98" i="6"/>
  <c r="L98" i="6"/>
  <c r="K98" i="6"/>
  <c r="O98" i="6"/>
  <c r="N98" i="6"/>
  <c r="M98" i="6"/>
  <c r="N49" i="6"/>
  <c r="I49" i="6"/>
  <c r="O49" i="6"/>
  <c r="M49" i="6"/>
  <c r="L49" i="6"/>
  <c r="K49" i="6"/>
  <c r="J49" i="6"/>
  <c r="J84" i="6"/>
  <c r="I84" i="6"/>
  <c r="M84" i="6"/>
  <c r="L84" i="6"/>
  <c r="K84" i="6"/>
  <c r="N84" i="6"/>
  <c r="O84" i="6"/>
  <c r="L28" i="6"/>
  <c r="N28" i="6"/>
  <c r="K28" i="6"/>
  <c r="M28" i="6"/>
  <c r="O28" i="6"/>
  <c r="J28" i="6"/>
  <c r="I28" i="6"/>
  <c r="J64" i="6"/>
  <c r="L64" i="6"/>
  <c r="K64" i="6"/>
  <c r="O64" i="6"/>
  <c r="N64" i="6"/>
  <c r="M64" i="6"/>
  <c r="I64" i="6"/>
  <c r="L38" i="6"/>
  <c r="M38" i="6"/>
  <c r="K38" i="6"/>
  <c r="J38" i="6"/>
  <c r="N38" i="6"/>
  <c r="I38" i="6"/>
  <c r="O38" i="6"/>
  <c r="L24" i="6"/>
  <c r="N24" i="6"/>
  <c r="O24" i="6"/>
  <c r="M24" i="6"/>
  <c r="K24" i="6"/>
  <c r="J24" i="6"/>
  <c r="I24" i="6"/>
  <c r="L26" i="6"/>
  <c r="J26" i="6"/>
  <c r="I26" i="6"/>
  <c r="K26" i="6"/>
  <c r="O26" i="6"/>
  <c r="N26" i="6"/>
  <c r="M26" i="6"/>
  <c r="L14" i="6"/>
  <c r="I14" i="6"/>
  <c r="M14" i="6"/>
  <c r="K14" i="6"/>
  <c r="J14" i="6"/>
  <c r="O14" i="6"/>
  <c r="N14" i="6"/>
  <c r="F105" i="6"/>
  <c r="N9" i="6"/>
  <c r="M9" i="6"/>
  <c r="O9" i="6"/>
  <c r="L9" i="6"/>
  <c r="K9" i="6"/>
  <c r="J9" i="6"/>
  <c r="I9" i="6"/>
  <c r="M25" i="6"/>
  <c r="L25" i="6"/>
  <c r="K25" i="6"/>
  <c r="N25" i="6"/>
  <c r="O25" i="6"/>
  <c r="J25" i="6"/>
  <c r="I25" i="6"/>
  <c r="J66" i="6"/>
  <c r="O66" i="6"/>
  <c r="N66" i="6"/>
  <c r="I66" i="6"/>
  <c r="K66" i="6"/>
  <c r="M66" i="6"/>
  <c r="L66" i="6"/>
  <c r="N103" i="6"/>
  <c r="M103" i="6"/>
  <c r="O103" i="6"/>
  <c r="K103" i="6"/>
  <c r="J103" i="6"/>
  <c r="I103" i="6"/>
  <c r="L103" i="6"/>
  <c r="J52" i="6"/>
  <c r="I52" i="6"/>
  <c r="O52" i="6"/>
  <c r="M52" i="6"/>
  <c r="L52" i="6"/>
  <c r="K52" i="6"/>
  <c r="N52" i="6"/>
  <c r="N85" i="6"/>
  <c r="M85" i="6"/>
  <c r="J85" i="6"/>
  <c r="I85" i="6"/>
  <c r="O85" i="6"/>
  <c r="L85" i="6"/>
  <c r="K85" i="6"/>
  <c r="J80" i="6"/>
  <c r="I80" i="6"/>
  <c r="N80" i="6"/>
  <c r="M80" i="6"/>
  <c r="L80" i="6"/>
  <c r="K80" i="6"/>
  <c r="O80" i="6"/>
  <c r="L10" i="6"/>
  <c r="J10" i="6"/>
  <c r="I10" i="6"/>
  <c r="K10" i="6"/>
  <c r="O10" i="6"/>
  <c r="N10" i="6"/>
  <c r="M10" i="6"/>
  <c r="M42" i="6"/>
  <c r="L42" i="6"/>
  <c r="O42" i="6"/>
  <c r="N42" i="6"/>
  <c r="J42" i="6"/>
  <c r="K42" i="6"/>
  <c r="I42" i="6"/>
  <c r="J50" i="6"/>
  <c r="O50" i="6"/>
  <c r="N50" i="6"/>
  <c r="M50" i="6"/>
  <c r="L50" i="6"/>
  <c r="K50" i="6"/>
  <c r="I50" i="6"/>
  <c r="M40" i="6"/>
  <c r="L40" i="6"/>
  <c r="J40" i="6"/>
  <c r="I40" i="6"/>
  <c r="K40" i="6"/>
  <c r="O40" i="6"/>
  <c r="N40" i="6"/>
  <c r="L30" i="6"/>
  <c r="O30" i="6"/>
  <c r="I30" i="6"/>
  <c r="N30" i="6"/>
  <c r="M30" i="6"/>
  <c r="K30" i="6"/>
  <c r="J30" i="6"/>
  <c r="O11" i="6"/>
  <c r="I11" i="6"/>
  <c r="N11" i="6"/>
  <c r="M11" i="6"/>
  <c r="L11" i="6"/>
  <c r="K11" i="6"/>
  <c r="J11" i="6"/>
  <c r="O27" i="6"/>
  <c r="N27" i="6"/>
  <c r="I27" i="6"/>
  <c r="M27" i="6"/>
  <c r="L27" i="6"/>
  <c r="K27" i="6"/>
  <c r="J27" i="6"/>
  <c r="N67" i="6"/>
  <c r="L67" i="6"/>
  <c r="K67" i="6"/>
  <c r="M67" i="6"/>
  <c r="J67" i="6"/>
  <c r="I67" i="6"/>
  <c r="O67" i="6"/>
  <c r="J104" i="6"/>
  <c r="I104" i="6"/>
  <c r="N104" i="6"/>
  <c r="M104" i="6"/>
  <c r="O104" i="6"/>
  <c r="L104" i="6"/>
  <c r="K104" i="6"/>
  <c r="N65" i="6"/>
  <c r="I65" i="6"/>
  <c r="O65" i="6"/>
  <c r="M65" i="6"/>
  <c r="L65" i="6"/>
  <c r="K65" i="6"/>
  <c r="J65" i="6"/>
  <c r="J92" i="6"/>
  <c r="I92" i="6"/>
  <c r="L92" i="6"/>
  <c r="K92" i="6"/>
  <c r="M92" i="6"/>
  <c r="N92" i="6"/>
  <c r="O92" i="6"/>
  <c r="J96" i="6"/>
  <c r="I96" i="6"/>
  <c r="N96" i="6"/>
  <c r="M96" i="6"/>
  <c r="O96" i="6"/>
  <c r="L96" i="6"/>
  <c r="K96" i="6"/>
  <c r="N87" i="6"/>
  <c r="M87" i="6"/>
  <c r="O87" i="6"/>
  <c r="L87" i="6"/>
  <c r="K87" i="6"/>
  <c r="J87" i="6"/>
  <c r="I87" i="6"/>
  <c r="J60" i="6"/>
  <c r="N60" i="6"/>
  <c r="M60" i="6"/>
  <c r="O60" i="6"/>
  <c r="L60" i="6"/>
  <c r="K60" i="6"/>
  <c r="I60" i="6"/>
  <c r="J54" i="6"/>
  <c r="M54" i="6"/>
  <c r="L54" i="6"/>
  <c r="O54" i="6"/>
  <c r="N54" i="6"/>
  <c r="K54" i="6"/>
  <c r="I54" i="6"/>
  <c r="L20" i="6"/>
  <c r="I20" i="6"/>
  <c r="J20" i="6"/>
  <c r="O20" i="6"/>
  <c r="N20" i="6"/>
  <c r="M20" i="6"/>
  <c r="K20" i="6"/>
  <c r="M46" i="6"/>
  <c r="L46" i="6"/>
  <c r="I46" i="6"/>
  <c r="J46" i="6"/>
  <c r="K46" i="6"/>
  <c r="O46" i="6"/>
  <c r="N46" i="6"/>
  <c r="K13" i="6"/>
  <c r="J13" i="6"/>
  <c r="L13" i="6"/>
  <c r="I13" i="6"/>
  <c r="O13" i="6"/>
  <c r="N13" i="6"/>
  <c r="M13" i="6"/>
  <c r="K29" i="6"/>
  <c r="J29" i="6"/>
  <c r="I29" i="6"/>
  <c r="L29" i="6"/>
  <c r="O29" i="6"/>
  <c r="M29" i="6"/>
  <c r="N29" i="6"/>
  <c r="J70" i="6"/>
  <c r="M70" i="6"/>
  <c r="L70" i="6"/>
  <c r="I70" i="6"/>
  <c r="K70" i="6"/>
  <c r="O70" i="6"/>
  <c r="N70" i="6"/>
  <c r="I39" i="6"/>
  <c r="K39" i="6"/>
  <c r="J39" i="6"/>
  <c r="L39" i="6"/>
  <c r="O39" i="6"/>
  <c r="N39" i="6"/>
  <c r="M39" i="6"/>
  <c r="J68" i="6"/>
  <c r="I68" i="6"/>
  <c r="O68" i="6"/>
  <c r="N68" i="6"/>
  <c r="M68" i="6"/>
  <c r="L68" i="6"/>
  <c r="K68" i="6"/>
  <c r="N93" i="6"/>
  <c r="M93" i="6"/>
  <c r="L93" i="6"/>
  <c r="K93" i="6"/>
  <c r="O93" i="6"/>
  <c r="J93" i="6"/>
  <c r="I93" i="6"/>
  <c r="N99" i="6"/>
  <c r="M99" i="6"/>
  <c r="J99" i="6"/>
  <c r="I99" i="6"/>
  <c r="L99" i="6"/>
  <c r="K99" i="6"/>
  <c r="O99" i="6"/>
  <c r="J90" i="6"/>
  <c r="I90" i="6"/>
  <c r="L90" i="6"/>
  <c r="K90" i="6"/>
  <c r="O90" i="6"/>
  <c r="N90" i="6"/>
  <c r="M90" i="6"/>
  <c r="L12" i="6"/>
  <c r="N12" i="6"/>
  <c r="M12" i="6"/>
  <c r="O12" i="6"/>
  <c r="K12" i="6"/>
  <c r="J12" i="6"/>
  <c r="I12" i="6"/>
  <c r="J58" i="6"/>
  <c r="K58" i="6"/>
  <c r="I58" i="6"/>
  <c r="O58" i="6"/>
  <c r="N58" i="6"/>
  <c r="M58" i="6"/>
  <c r="L58" i="6"/>
  <c r="L36" i="6"/>
  <c r="I36" i="6"/>
  <c r="J36" i="6"/>
  <c r="O36" i="6"/>
  <c r="N36" i="6"/>
  <c r="M36" i="6"/>
  <c r="K36" i="6"/>
  <c r="N69" i="6"/>
  <c r="O69" i="6"/>
  <c r="I69" i="6"/>
  <c r="M69" i="6"/>
  <c r="L69" i="6"/>
  <c r="K69" i="6"/>
  <c r="J69" i="6"/>
  <c r="N15" i="6"/>
  <c r="M15" i="6"/>
  <c r="O15" i="6"/>
  <c r="L15" i="6"/>
  <c r="K15" i="6"/>
  <c r="J15" i="6"/>
  <c r="I15" i="6"/>
  <c r="N31" i="6"/>
  <c r="M31" i="6"/>
  <c r="L31" i="6"/>
  <c r="O31" i="6"/>
  <c r="K31" i="6"/>
  <c r="J31" i="6"/>
  <c r="I31" i="6"/>
  <c r="N71" i="6"/>
  <c r="J71" i="6"/>
  <c r="I71" i="6"/>
  <c r="M71" i="6"/>
  <c r="L71" i="6"/>
  <c r="K71" i="6"/>
  <c r="O71" i="6"/>
  <c r="I41" i="6"/>
  <c r="O41" i="6"/>
  <c r="N41" i="6"/>
  <c r="L41" i="6"/>
  <c r="K41" i="6"/>
  <c r="J41" i="6"/>
  <c r="M41" i="6"/>
  <c r="N59" i="6"/>
  <c r="K59" i="6"/>
  <c r="J59" i="6"/>
  <c r="I59" i="6"/>
  <c r="L59" i="6"/>
  <c r="O59" i="6"/>
  <c r="M59" i="6"/>
  <c r="J100" i="6"/>
  <c r="I100" i="6"/>
  <c r="N100" i="6"/>
  <c r="M100" i="6"/>
  <c r="K100" i="6"/>
  <c r="L100" i="6"/>
  <c r="O100" i="6"/>
  <c r="L16" i="6"/>
  <c r="K16" i="6"/>
  <c r="J16" i="6"/>
  <c r="M16" i="6"/>
  <c r="O16" i="6"/>
  <c r="N16" i="6"/>
  <c r="I16" i="6"/>
  <c r="L18" i="6"/>
  <c r="O18" i="6"/>
  <c r="M18" i="6"/>
  <c r="N18" i="6"/>
  <c r="K18" i="6"/>
  <c r="J18" i="6"/>
  <c r="I18" i="6"/>
  <c r="L32" i="6"/>
  <c r="K32" i="6"/>
  <c r="J32" i="6"/>
  <c r="I32" i="6"/>
  <c r="M32" i="6"/>
  <c r="O32" i="6"/>
  <c r="N32" i="6"/>
  <c r="N83" i="6"/>
  <c r="M83" i="6"/>
  <c r="J83" i="6"/>
  <c r="I83" i="6"/>
  <c r="O83" i="6"/>
  <c r="L83" i="6"/>
  <c r="K83" i="6"/>
  <c r="N51" i="6"/>
  <c r="L51" i="6"/>
  <c r="K51" i="6"/>
  <c r="I51" i="6"/>
  <c r="J51" i="6"/>
  <c r="O51" i="6"/>
  <c r="M51" i="6"/>
  <c r="J72" i="6"/>
  <c r="O72" i="6"/>
  <c r="I72" i="6"/>
  <c r="N72" i="6"/>
  <c r="M72" i="6"/>
  <c r="L72" i="6"/>
  <c r="K72" i="6"/>
  <c r="I17" i="6"/>
  <c r="O17" i="6"/>
  <c r="J17" i="6"/>
  <c r="N17" i="6"/>
  <c r="M17" i="6"/>
  <c r="L17" i="6"/>
  <c r="K17" i="6"/>
  <c r="I33" i="6"/>
  <c r="O33" i="6"/>
  <c r="J33" i="6"/>
  <c r="N33" i="6"/>
  <c r="M33" i="6"/>
  <c r="L33" i="6"/>
  <c r="K33" i="6"/>
  <c r="J74" i="6"/>
  <c r="K74" i="6"/>
  <c r="I74" i="6"/>
  <c r="L74" i="6"/>
  <c r="M74" i="6"/>
  <c r="O74" i="6"/>
  <c r="N74" i="6"/>
  <c r="I43" i="6"/>
  <c r="M43" i="6"/>
  <c r="L43" i="6"/>
  <c r="O43" i="6"/>
  <c r="N43" i="6"/>
  <c r="K43" i="6"/>
  <c r="J43" i="6"/>
  <c r="J62" i="6"/>
  <c r="I62" i="6"/>
  <c r="K62" i="6"/>
  <c r="O62" i="6"/>
  <c r="N62" i="6"/>
  <c r="M62" i="6"/>
  <c r="L62" i="6"/>
  <c r="N101" i="6"/>
  <c r="M101" i="6"/>
  <c r="O101" i="6"/>
  <c r="L101" i="6"/>
  <c r="K101" i="6"/>
  <c r="J101" i="6"/>
  <c r="I101" i="6"/>
  <c r="H105" i="5"/>
  <c r="M105" i="5"/>
  <c r="K105" i="5"/>
  <c r="J105" i="5"/>
  <c r="N105" i="5"/>
  <c r="L105" i="5"/>
  <c r="I105" i="5"/>
  <c r="N105" i="6" l="1"/>
  <c r="I105" i="6"/>
  <c r="J105" i="6"/>
  <c r="K105" i="6"/>
  <c r="L105" i="6"/>
  <c r="O105" i="6"/>
  <c r="M105" i="6"/>
</calcChain>
</file>

<file path=xl/sharedStrings.xml><?xml version="1.0" encoding="utf-8"?>
<sst xmlns="http://schemas.openxmlformats.org/spreadsheetml/2006/main" count="117" uniqueCount="49">
  <si>
    <t>Uhrzeit</t>
  </si>
  <si>
    <t>Summe Gewichte</t>
  </si>
  <si>
    <t>Gewicht w2</t>
  </si>
  <si>
    <t>Gewicht w1</t>
  </si>
  <si>
    <t>Peak</t>
  </si>
  <si>
    <t>Bimodale Lognormal-Mischung (spontanes Laden + leerer Akku)</t>
  </si>
  <si>
    <t>Retail</t>
  </si>
  <si>
    <t>Autobahn</t>
  </si>
  <si>
    <t>Logistik-Center</t>
  </si>
  <si>
    <t>Montag</t>
  </si>
  <si>
    <t>Dienstag</t>
  </si>
  <si>
    <t>Mittwoch</t>
  </si>
  <si>
    <t>Donnerstag</t>
  </si>
  <si>
    <t>Freitag</t>
  </si>
  <si>
    <t>Samstag</t>
  </si>
  <si>
    <t>Sonntag</t>
  </si>
  <si>
    <t>Montag2</t>
  </si>
  <si>
    <t>Dienstag2</t>
  </si>
  <si>
    <t>Mittwoch2</t>
  </si>
  <si>
    <t>Donnerstag2</t>
  </si>
  <si>
    <t>Freitag2</t>
  </si>
  <si>
    <t>Samstag2</t>
  </si>
  <si>
    <t>Sonntag2</t>
  </si>
  <si>
    <t>Montag3</t>
  </si>
  <si>
    <t>Dienstag3</t>
  </si>
  <si>
    <t>Mittwoch3</t>
  </si>
  <si>
    <t>Donnerstag3</t>
  </si>
  <si>
    <t>Freitag3</t>
  </si>
  <si>
    <t>Samstag3</t>
  </si>
  <si>
    <t>Sonntag3</t>
  </si>
  <si>
    <t>Schritt (Std.)</t>
  </si>
  <si>
    <t>Max-SoC (Std)</t>
  </si>
  <si>
    <t>Mischung f</t>
  </si>
  <si>
    <t>Normiert f_norm</t>
  </si>
  <si>
    <t>Morgen f1</t>
  </si>
  <si>
    <t>Mittag f2</t>
  </si>
  <si>
    <t>Gewichtung</t>
  </si>
  <si>
    <t>μ1 (mogen, ln)</t>
  </si>
  <si>
    <t>σ1 (morgen)</t>
  </si>
  <si>
    <t>μ2 (mittag, ln)</t>
  </si>
  <si>
    <t>σ2 (mittag)</t>
  </si>
  <si>
    <t>Summe</t>
  </si>
  <si>
    <t>μ1 (morgen)</t>
  </si>
  <si>
    <t>μ2 (mittag)</t>
  </si>
  <si>
    <t>μ3 (nacht)</t>
  </si>
  <si>
    <t>Gewicht w3</t>
  </si>
  <si>
    <t>μ3 (nacht, ln)</t>
  </si>
  <si>
    <t>σ3 (nacht)</t>
  </si>
  <si>
    <t>Nacht 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</si>
</sst>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%"/>
    <numFmt numFmtId="168" formatCode="[$-F400]h:mm:ss\ AM/PM"/>
    <numFmt numFmtId="172" formatCode="0.000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4" xfId="0" applyBorder="1"/>
    <xf numFmtId="2" fontId="0" fillId="0" borderId="0" xfId="0" applyNumberFormat="1"/>
    <xf numFmtId="164" fontId="0" fillId="0" borderId="0" xfId="0" applyNumberFormat="1"/>
    <xf numFmtId="0" fontId="0" fillId="0" borderId="5" xfId="0" applyBorder="1"/>
    <xf numFmtId="165" fontId="0" fillId="0" borderId="4" xfId="1" applyNumberFormat="1" applyFont="1" applyBorder="1" applyAlignment="1"/>
    <xf numFmtId="165" fontId="0" fillId="0" borderId="0" xfId="1" applyNumberFormat="1" applyFont="1" applyBorder="1" applyAlignment="1"/>
    <xf numFmtId="165" fontId="0" fillId="0" borderId="6" xfId="1" applyNumberFormat="1" applyFont="1" applyBorder="1" applyAlignment="1"/>
    <xf numFmtId="165" fontId="0" fillId="0" borderId="7" xfId="1" applyNumberFormat="1" applyFont="1" applyBorder="1" applyAlignment="1"/>
    <xf numFmtId="165" fontId="0" fillId="3" borderId="9" xfId="1" applyNumberFormat="1" applyFont="1" applyFill="1" applyBorder="1" applyAlignment="1"/>
    <xf numFmtId="165" fontId="0" fillId="3" borderId="10" xfId="1" applyNumberFormat="1" applyFont="1" applyFill="1" applyBorder="1" applyAlignment="1"/>
    <xf numFmtId="165" fontId="0" fillId="0" borderId="9" xfId="1" applyNumberFormat="1" applyFont="1" applyBorder="1" applyAlignment="1"/>
    <xf numFmtId="165" fontId="0" fillId="0" borderId="10" xfId="1" applyNumberFormat="1" applyFont="1" applyBorder="1" applyAlignme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10" fontId="0" fillId="0" borderId="0" xfId="1" applyNumberFormat="1" applyFont="1"/>
    <xf numFmtId="165" fontId="0" fillId="0" borderId="0" xfId="1" applyNumberFormat="1" applyFont="1"/>
    <xf numFmtId="0" fontId="0" fillId="0" borderId="0" xfId="0" applyBorder="1"/>
    <xf numFmtId="165" fontId="0" fillId="0" borderId="11" xfId="1" applyNumberFormat="1" applyFont="1" applyBorder="1" applyAlignment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20" fontId="4" fillId="6" borderId="13" xfId="0" applyNumberFormat="1" applyFont="1" applyFill="1" applyBorder="1"/>
    <xf numFmtId="20" fontId="4" fillId="6" borderId="14" xfId="0" applyNumberFormat="1" applyFont="1" applyFill="1" applyBorder="1"/>
    <xf numFmtId="0" fontId="4" fillId="6" borderId="12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0" fillId="0" borderId="16" xfId="0" applyBorder="1"/>
    <xf numFmtId="0" fontId="0" fillId="0" borderId="17" xfId="0" applyBorder="1"/>
    <xf numFmtId="2" fontId="0" fillId="0" borderId="0" xfId="0" applyNumberFormat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4" xfId="0" applyNumberFormat="1" applyBorder="1"/>
    <xf numFmtId="0" fontId="0" fillId="0" borderId="18" xfId="0" applyBorder="1"/>
    <xf numFmtId="0" fontId="3" fillId="0" borderId="19" xfId="0" applyFont="1" applyBorder="1"/>
    <xf numFmtId="0" fontId="3" fillId="0" borderId="20" xfId="0" applyFont="1" applyBorder="1"/>
    <xf numFmtId="172" fontId="0" fillId="0" borderId="3" xfId="0" applyNumberFormat="1" applyBorder="1"/>
    <xf numFmtId="172" fontId="0" fillId="0" borderId="5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10" fontId="0" fillId="0" borderId="2" xfId="1" applyNumberFormat="1" applyFont="1" applyBorder="1"/>
    <xf numFmtId="10" fontId="0" fillId="0" borderId="3" xfId="1" applyNumberFormat="1" applyFont="1" applyBorder="1"/>
    <xf numFmtId="10" fontId="0" fillId="0" borderId="0" xfId="1" applyNumberFormat="1" applyFont="1" applyBorder="1"/>
    <xf numFmtId="10" fontId="0" fillId="0" borderId="5" xfId="1" applyNumberFormat="1" applyFont="1" applyBorder="1"/>
    <xf numFmtId="9" fontId="0" fillId="0" borderId="19" xfId="1" applyFont="1" applyBorder="1"/>
    <xf numFmtId="9" fontId="0" fillId="0" borderId="20" xfId="1" applyFont="1" applyBorder="1"/>
    <xf numFmtId="0" fontId="4" fillId="7" borderId="15" xfId="0" applyFont="1" applyFill="1" applyBorder="1"/>
    <xf numFmtId="0" fontId="3" fillId="7" borderId="6" xfId="0" applyFont="1" applyFill="1" applyBorder="1"/>
    <xf numFmtId="168" fontId="0" fillId="7" borderId="1" xfId="0" applyNumberFormat="1" applyFill="1" applyBorder="1"/>
    <xf numFmtId="168" fontId="0" fillId="7" borderId="4" xfId="0" applyNumberFormat="1" applyFill="1" applyBorder="1"/>
    <xf numFmtId="2" fontId="0" fillId="7" borderId="18" xfId="0" applyNumberFormat="1" applyFill="1" applyBorder="1"/>
  </cellXfs>
  <cellStyles count="2">
    <cellStyle name="Prozent" xfId="1" builtinId="5"/>
    <cellStyle name="Standard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%"/>
    </dxf>
    <dxf>
      <border outline="0">
        <left style="medium">
          <color indexed="64"/>
        </left>
      </border>
    </dxf>
    <dxf>
      <numFmt numFmtId="165" formatCode="0.000%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0.000%"/>
      <alignment horizontal="general" vertical="bottom" textRotation="0" wrapText="0" indent="0" justifyLastLine="0" shrinkToFit="0" readingOrder="0"/>
    </dxf>
    <dxf>
      <numFmt numFmtId="165" formatCode="0.000%"/>
      <alignment horizontal="general" vertical="bottom" textRotation="0" wrapText="0" indent="0" justifyLastLine="0" shrinkToFit="0" readingOrder="0"/>
    </dxf>
    <dxf>
      <numFmt numFmtId="165" formatCode="0.000%"/>
      <alignment horizontal="general" vertical="bottom" textRotation="0" wrapText="0" indent="0" justifyLastLine="0" shrinkToFit="0" readingOrder="0"/>
    </dxf>
    <dxf>
      <numFmt numFmtId="165" formatCode="0.000%"/>
      <alignment horizontal="general" vertical="bottom" textRotation="0" wrapText="0" indent="0" justifyLastLine="0" shrinkToFit="0" readingOrder="0"/>
    </dxf>
    <dxf>
      <numFmt numFmtId="165" formatCode="0.000%"/>
      <alignment horizontal="general" vertical="bottom" textRotation="0" wrapText="0" indent="0" justifyLastLine="0" shrinkToFit="0" readingOrder="0"/>
    </dxf>
    <dxf>
      <numFmt numFmtId="165" formatCode="0.000%"/>
      <alignment horizontal="general" vertical="bottom" textRotation="0" wrapText="0" indent="0" justifyLastLine="0" shrinkToFit="0" readingOrder="0"/>
    </dxf>
    <dxf>
      <border outline="0">
        <right style="medium">
          <color indexed="64"/>
        </right>
      </border>
    </dxf>
    <dxf>
      <numFmt numFmtId="165" formatCode="0.000%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'Retail, Autobahn, Logistik'!$B$2</c:f>
              <c:strCache>
                <c:ptCount val="1"/>
                <c:pt idx="0">
                  <c:v>Montag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Logistik'!$B$3:$B$98</c:f>
              <c:numCache>
                <c:formatCode>0.000%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1.0548523206751054E-3</c:v>
                </c:pt>
                <c:pt idx="29">
                  <c:v>1.0548523206751054E-3</c:v>
                </c:pt>
                <c:pt idx="30">
                  <c:v>1.0548523206751054E-3</c:v>
                </c:pt>
                <c:pt idx="31">
                  <c:v>1.0548523206751054E-3</c:v>
                </c:pt>
                <c:pt idx="32">
                  <c:v>1.7580872011251757E-3</c:v>
                </c:pt>
                <c:pt idx="33">
                  <c:v>1.7580872011251757E-3</c:v>
                </c:pt>
                <c:pt idx="34">
                  <c:v>1.7580872011251757E-3</c:v>
                </c:pt>
                <c:pt idx="35">
                  <c:v>1.7580872011251757E-3</c:v>
                </c:pt>
                <c:pt idx="36">
                  <c:v>2.4613220815752463E-3</c:v>
                </c:pt>
                <c:pt idx="37">
                  <c:v>2.4613220815752463E-3</c:v>
                </c:pt>
                <c:pt idx="38">
                  <c:v>2.4613220815752463E-3</c:v>
                </c:pt>
                <c:pt idx="39">
                  <c:v>2.4613220815752463E-3</c:v>
                </c:pt>
                <c:pt idx="40">
                  <c:v>3.1645569620253164E-3</c:v>
                </c:pt>
                <c:pt idx="41">
                  <c:v>3.1645569620253164E-3</c:v>
                </c:pt>
                <c:pt idx="42">
                  <c:v>3.1645569620253164E-3</c:v>
                </c:pt>
                <c:pt idx="43">
                  <c:v>3.1645569620253164E-3</c:v>
                </c:pt>
                <c:pt idx="44">
                  <c:v>3.5161744022503515E-3</c:v>
                </c:pt>
                <c:pt idx="45">
                  <c:v>3.5161744022503515E-3</c:v>
                </c:pt>
                <c:pt idx="46">
                  <c:v>3.5161744022503515E-3</c:v>
                </c:pt>
                <c:pt idx="47">
                  <c:v>3.5161744022503515E-3</c:v>
                </c:pt>
                <c:pt idx="48">
                  <c:v>3.867791842475387E-3</c:v>
                </c:pt>
                <c:pt idx="49">
                  <c:v>3.867791842475387E-3</c:v>
                </c:pt>
                <c:pt idx="50">
                  <c:v>3.867791842475387E-3</c:v>
                </c:pt>
                <c:pt idx="51">
                  <c:v>3.867791842475387E-3</c:v>
                </c:pt>
                <c:pt idx="52">
                  <c:v>3.867791842475387E-3</c:v>
                </c:pt>
                <c:pt idx="53">
                  <c:v>3.867791842475387E-3</c:v>
                </c:pt>
                <c:pt idx="54">
                  <c:v>3.867791842475387E-3</c:v>
                </c:pt>
                <c:pt idx="55">
                  <c:v>3.867791842475387E-3</c:v>
                </c:pt>
                <c:pt idx="56">
                  <c:v>3.5161744022503515E-3</c:v>
                </c:pt>
                <c:pt idx="57">
                  <c:v>3.5161744022503515E-3</c:v>
                </c:pt>
                <c:pt idx="58">
                  <c:v>3.5161744022503515E-3</c:v>
                </c:pt>
                <c:pt idx="59">
                  <c:v>3.5161744022503515E-3</c:v>
                </c:pt>
                <c:pt idx="60">
                  <c:v>3.1645569620253164E-3</c:v>
                </c:pt>
                <c:pt idx="61">
                  <c:v>3.1645569620253164E-3</c:v>
                </c:pt>
                <c:pt idx="62">
                  <c:v>2.8129395218002813E-3</c:v>
                </c:pt>
                <c:pt idx="63">
                  <c:v>2.8129395218002813E-3</c:v>
                </c:pt>
                <c:pt idx="64">
                  <c:v>3.5161744022503515E-3</c:v>
                </c:pt>
                <c:pt idx="65">
                  <c:v>3.5161744022503515E-3</c:v>
                </c:pt>
                <c:pt idx="66">
                  <c:v>3.5161744022503515E-3</c:v>
                </c:pt>
                <c:pt idx="67">
                  <c:v>3.5161744022503515E-3</c:v>
                </c:pt>
                <c:pt idx="68">
                  <c:v>3.867791842475387E-3</c:v>
                </c:pt>
                <c:pt idx="69">
                  <c:v>3.867791842475387E-3</c:v>
                </c:pt>
                <c:pt idx="70">
                  <c:v>3.867791842475387E-3</c:v>
                </c:pt>
                <c:pt idx="71">
                  <c:v>3.867791842475387E-3</c:v>
                </c:pt>
                <c:pt idx="72">
                  <c:v>4.2194092827004216E-3</c:v>
                </c:pt>
                <c:pt idx="73">
                  <c:v>4.2194092827004216E-3</c:v>
                </c:pt>
                <c:pt idx="74">
                  <c:v>4.2194092827004216E-3</c:v>
                </c:pt>
                <c:pt idx="75">
                  <c:v>4.2194092827004216E-3</c:v>
                </c:pt>
                <c:pt idx="76">
                  <c:v>4.9226441631504926E-3</c:v>
                </c:pt>
                <c:pt idx="77">
                  <c:v>4.9226441631504926E-3</c:v>
                </c:pt>
                <c:pt idx="78">
                  <c:v>4.9226441631504926E-3</c:v>
                </c:pt>
                <c:pt idx="79">
                  <c:v>4.9226441631504926E-3</c:v>
                </c:pt>
                <c:pt idx="80">
                  <c:v>4.2194092827004216E-3</c:v>
                </c:pt>
                <c:pt idx="81">
                  <c:v>4.2194092827004216E-3</c:v>
                </c:pt>
                <c:pt idx="82">
                  <c:v>4.2194092827004216E-3</c:v>
                </c:pt>
                <c:pt idx="83">
                  <c:v>4.2194092827004216E-3</c:v>
                </c:pt>
                <c:pt idx="84">
                  <c:v>3.5161744022503515E-3</c:v>
                </c:pt>
                <c:pt idx="85">
                  <c:v>3.5161744022503515E-3</c:v>
                </c:pt>
                <c:pt idx="86">
                  <c:v>3.5161744022503515E-3</c:v>
                </c:pt>
                <c:pt idx="87">
                  <c:v>3.5161744022503515E-3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7-CD4A-8F8C-A9ABA6F655A6}"/>
            </c:ext>
          </c:extLst>
        </c:ser>
        <c:ser>
          <c:idx val="1"/>
          <c:order val="1"/>
          <c:tx>
            <c:strRef>
              <c:f>'Retail, Autobahn, Logistik'!$C$2</c:f>
              <c:strCache>
                <c:ptCount val="1"/>
                <c:pt idx="0">
                  <c:v>Dienstag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Logistik'!$C$3:$C$98</c:f>
              <c:numCache>
                <c:formatCode>0.000%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1.4064697609001407E-3</c:v>
                </c:pt>
                <c:pt idx="29">
                  <c:v>1.4064697609001407E-3</c:v>
                </c:pt>
                <c:pt idx="30">
                  <c:v>1.4064697609001407E-3</c:v>
                </c:pt>
                <c:pt idx="31">
                  <c:v>1.4064697609001407E-3</c:v>
                </c:pt>
                <c:pt idx="32">
                  <c:v>1.7580872011251757E-3</c:v>
                </c:pt>
                <c:pt idx="33">
                  <c:v>1.7580872011251757E-3</c:v>
                </c:pt>
                <c:pt idx="34">
                  <c:v>1.7580872011251757E-3</c:v>
                </c:pt>
                <c:pt idx="35">
                  <c:v>2.1097046413502108E-3</c:v>
                </c:pt>
                <c:pt idx="36">
                  <c:v>2.1097046413502108E-3</c:v>
                </c:pt>
                <c:pt idx="37">
                  <c:v>2.1097046413502108E-3</c:v>
                </c:pt>
                <c:pt idx="38">
                  <c:v>2.1097046413502108E-3</c:v>
                </c:pt>
                <c:pt idx="39">
                  <c:v>2.1097046413502108E-3</c:v>
                </c:pt>
                <c:pt idx="40">
                  <c:v>2.1097046413502108E-3</c:v>
                </c:pt>
                <c:pt idx="41">
                  <c:v>2.4613220815752463E-3</c:v>
                </c:pt>
                <c:pt idx="42">
                  <c:v>2.4613220815752463E-3</c:v>
                </c:pt>
                <c:pt idx="43">
                  <c:v>2.4613220815752463E-3</c:v>
                </c:pt>
                <c:pt idx="44">
                  <c:v>2.4613220815752463E-3</c:v>
                </c:pt>
                <c:pt idx="45">
                  <c:v>2.8129395218002813E-3</c:v>
                </c:pt>
                <c:pt idx="46">
                  <c:v>2.8129395218002813E-3</c:v>
                </c:pt>
                <c:pt idx="47">
                  <c:v>2.8129395218002813E-3</c:v>
                </c:pt>
                <c:pt idx="48">
                  <c:v>2.8129395218002813E-3</c:v>
                </c:pt>
                <c:pt idx="49">
                  <c:v>2.8129395218002813E-3</c:v>
                </c:pt>
                <c:pt idx="50">
                  <c:v>2.4613220815752463E-3</c:v>
                </c:pt>
                <c:pt idx="51">
                  <c:v>2.4613220815752463E-3</c:v>
                </c:pt>
                <c:pt idx="52">
                  <c:v>2.4613220815752463E-3</c:v>
                </c:pt>
                <c:pt idx="53">
                  <c:v>2.4613220815752463E-3</c:v>
                </c:pt>
                <c:pt idx="54">
                  <c:v>2.1097046413502108E-3</c:v>
                </c:pt>
                <c:pt idx="55">
                  <c:v>2.1097046413502108E-3</c:v>
                </c:pt>
                <c:pt idx="56">
                  <c:v>2.1097046413502108E-3</c:v>
                </c:pt>
                <c:pt idx="57">
                  <c:v>2.1097046413502108E-3</c:v>
                </c:pt>
                <c:pt idx="58">
                  <c:v>2.1097046413502108E-3</c:v>
                </c:pt>
                <c:pt idx="59">
                  <c:v>1.7580872011251757E-3</c:v>
                </c:pt>
                <c:pt idx="60">
                  <c:v>2.1097046413502108E-3</c:v>
                </c:pt>
                <c:pt idx="61">
                  <c:v>2.1097046413502108E-3</c:v>
                </c:pt>
                <c:pt idx="62">
                  <c:v>2.1097046413502108E-3</c:v>
                </c:pt>
                <c:pt idx="63">
                  <c:v>2.1097046413502108E-3</c:v>
                </c:pt>
                <c:pt idx="64">
                  <c:v>2.8129395218002813E-3</c:v>
                </c:pt>
                <c:pt idx="65">
                  <c:v>2.8129395218002813E-3</c:v>
                </c:pt>
                <c:pt idx="66">
                  <c:v>2.8129395218002813E-3</c:v>
                </c:pt>
                <c:pt idx="67">
                  <c:v>2.8129395218002813E-3</c:v>
                </c:pt>
                <c:pt idx="68">
                  <c:v>2.8129395218002813E-3</c:v>
                </c:pt>
                <c:pt idx="69">
                  <c:v>3.1645569620253164E-3</c:v>
                </c:pt>
                <c:pt idx="70">
                  <c:v>3.1645569620253164E-3</c:v>
                </c:pt>
                <c:pt idx="71">
                  <c:v>3.1645569620253164E-3</c:v>
                </c:pt>
                <c:pt idx="72">
                  <c:v>3.1645569620253164E-3</c:v>
                </c:pt>
                <c:pt idx="73">
                  <c:v>3.1645569620253164E-3</c:v>
                </c:pt>
                <c:pt idx="74">
                  <c:v>3.1645569620253164E-3</c:v>
                </c:pt>
                <c:pt idx="75">
                  <c:v>2.8129395218002813E-3</c:v>
                </c:pt>
                <c:pt idx="76">
                  <c:v>2.8129395218002813E-3</c:v>
                </c:pt>
                <c:pt idx="77">
                  <c:v>2.8129395218002813E-3</c:v>
                </c:pt>
                <c:pt idx="78">
                  <c:v>2.4613220815752463E-3</c:v>
                </c:pt>
                <c:pt idx="79">
                  <c:v>2.4613220815752463E-3</c:v>
                </c:pt>
                <c:pt idx="80">
                  <c:v>2.1097046413502108E-3</c:v>
                </c:pt>
                <c:pt idx="81">
                  <c:v>2.1097046413502108E-3</c:v>
                </c:pt>
                <c:pt idx="82">
                  <c:v>1.7580872011251757E-3</c:v>
                </c:pt>
                <c:pt idx="83">
                  <c:v>1.7580872011251757E-3</c:v>
                </c:pt>
                <c:pt idx="84">
                  <c:v>1.7580872011251757E-3</c:v>
                </c:pt>
                <c:pt idx="85">
                  <c:v>1.7580872011251757E-3</c:v>
                </c:pt>
                <c:pt idx="86">
                  <c:v>1.7580872011251757E-3</c:v>
                </c:pt>
                <c:pt idx="87">
                  <c:v>1.7580872011251757E-3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77-CD4A-8F8C-A9ABA6F655A6}"/>
            </c:ext>
          </c:extLst>
        </c:ser>
        <c:ser>
          <c:idx val="2"/>
          <c:order val="2"/>
          <c:tx>
            <c:strRef>
              <c:f>'Retail, Autobahn, Logistik'!$D$2</c:f>
              <c:strCache>
                <c:ptCount val="1"/>
                <c:pt idx="0">
                  <c:v>Mittwoch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Logistik'!$D$3:$D$98</c:f>
              <c:numCache>
                <c:formatCode>0.000%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1.4064697609001407E-3</c:v>
                </c:pt>
                <c:pt idx="29">
                  <c:v>1.4064697609001407E-3</c:v>
                </c:pt>
                <c:pt idx="30">
                  <c:v>1.4064697609001407E-3</c:v>
                </c:pt>
                <c:pt idx="31">
                  <c:v>1.4064697609001407E-3</c:v>
                </c:pt>
                <c:pt idx="32">
                  <c:v>1.7580872011251757E-3</c:v>
                </c:pt>
                <c:pt idx="33">
                  <c:v>1.7580872011251757E-3</c:v>
                </c:pt>
                <c:pt idx="34">
                  <c:v>1.7580872011251757E-3</c:v>
                </c:pt>
                <c:pt idx="35">
                  <c:v>2.1097046413502108E-3</c:v>
                </c:pt>
                <c:pt idx="36">
                  <c:v>2.1097046413502108E-3</c:v>
                </c:pt>
                <c:pt idx="37">
                  <c:v>2.1097046413502108E-3</c:v>
                </c:pt>
                <c:pt idx="38">
                  <c:v>2.1097046413502108E-3</c:v>
                </c:pt>
                <c:pt idx="39">
                  <c:v>2.1097046413502108E-3</c:v>
                </c:pt>
                <c:pt idx="40">
                  <c:v>2.1097046413502108E-3</c:v>
                </c:pt>
                <c:pt idx="41">
                  <c:v>2.4613220815752463E-3</c:v>
                </c:pt>
                <c:pt idx="42">
                  <c:v>2.4613220815752463E-3</c:v>
                </c:pt>
                <c:pt idx="43">
                  <c:v>2.4613220815752463E-3</c:v>
                </c:pt>
                <c:pt idx="44">
                  <c:v>2.4613220815752463E-3</c:v>
                </c:pt>
                <c:pt idx="45">
                  <c:v>2.8129395218002813E-3</c:v>
                </c:pt>
                <c:pt idx="46">
                  <c:v>2.8129395218002813E-3</c:v>
                </c:pt>
                <c:pt idx="47">
                  <c:v>2.8129395218002813E-3</c:v>
                </c:pt>
                <c:pt idx="48">
                  <c:v>2.8129395218002813E-3</c:v>
                </c:pt>
                <c:pt idx="49">
                  <c:v>2.8129395218002813E-3</c:v>
                </c:pt>
                <c:pt idx="50">
                  <c:v>2.4613220815752463E-3</c:v>
                </c:pt>
                <c:pt idx="51">
                  <c:v>2.4613220815752463E-3</c:v>
                </c:pt>
                <c:pt idx="52">
                  <c:v>2.4613220815752463E-3</c:v>
                </c:pt>
                <c:pt idx="53">
                  <c:v>2.4613220815752463E-3</c:v>
                </c:pt>
                <c:pt idx="54">
                  <c:v>2.1097046413502108E-3</c:v>
                </c:pt>
                <c:pt idx="55">
                  <c:v>2.1097046413502108E-3</c:v>
                </c:pt>
                <c:pt idx="56">
                  <c:v>2.1097046413502108E-3</c:v>
                </c:pt>
                <c:pt idx="57">
                  <c:v>2.1097046413502108E-3</c:v>
                </c:pt>
                <c:pt idx="58">
                  <c:v>2.1097046413502108E-3</c:v>
                </c:pt>
                <c:pt idx="59">
                  <c:v>1.7580872011251757E-3</c:v>
                </c:pt>
                <c:pt idx="60">
                  <c:v>2.1097046413502108E-3</c:v>
                </c:pt>
                <c:pt idx="61">
                  <c:v>2.1097046413502108E-3</c:v>
                </c:pt>
                <c:pt idx="62">
                  <c:v>2.1097046413502108E-3</c:v>
                </c:pt>
                <c:pt idx="63">
                  <c:v>2.1097046413502108E-3</c:v>
                </c:pt>
                <c:pt idx="64">
                  <c:v>2.8129395218002813E-3</c:v>
                </c:pt>
                <c:pt idx="65">
                  <c:v>2.8129395218002813E-3</c:v>
                </c:pt>
                <c:pt idx="66">
                  <c:v>2.8129395218002813E-3</c:v>
                </c:pt>
                <c:pt idx="67">
                  <c:v>2.8129395218002813E-3</c:v>
                </c:pt>
                <c:pt idx="68">
                  <c:v>2.8129395218002813E-3</c:v>
                </c:pt>
                <c:pt idx="69">
                  <c:v>3.1645569620253164E-3</c:v>
                </c:pt>
                <c:pt idx="70">
                  <c:v>3.1645569620253164E-3</c:v>
                </c:pt>
                <c:pt idx="71">
                  <c:v>3.1645569620253164E-3</c:v>
                </c:pt>
                <c:pt idx="72">
                  <c:v>3.1645569620253164E-3</c:v>
                </c:pt>
                <c:pt idx="73">
                  <c:v>3.1645569620253164E-3</c:v>
                </c:pt>
                <c:pt idx="74">
                  <c:v>3.1645569620253164E-3</c:v>
                </c:pt>
                <c:pt idx="75">
                  <c:v>2.8129395218002813E-3</c:v>
                </c:pt>
                <c:pt idx="76">
                  <c:v>2.8129395218002813E-3</c:v>
                </c:pt>
                <c:pt idx="77">
                  <c:v>2.8129395218002813E-3</c:v>
                </c:pt>
                <c:pt idx="78">
                  <c:v>2.4613220815752463E-3</c:v>
                </c:pt>
                <c:pt idx="79">
                  <c:v>2.4613220815752463E-3</c:v>
                </c:pt>
                <c:pt idx="80">
                  <c:v>2.1097046413502108E-3</c:v>
                </c:pt>
                <c:pt idx="81">
                  <c:v>2.1097046413502108E-3</c:v>
                </c:pt>
                <c:pt idx="82">
                  <c:v>1.7580872011251757E-3</c:v>
                </c:pt>
                <c:pt idx="83">
                  <c:v>1.7580872011251757E-3</c:v>
                </c:pt>
                <c:pt idx="84">
                  <c:v>1.7580872011251757E-3</c:v>
                </c:pt>
                <c:pt idx="85">
                  <c:v>1.7580872011251757E-3</c:v>
                </c:pt>
                <c:pt idx="86">
                  <c:v>1.7580872011251757E-3</c:v>
                </c:pt>
                <c:pt idx="87">
                  <c:v>1.7580872011251757E-3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77-CD4A-8F8C-A9ABA6F655A6}"/>
            </c:ext>
          </c:extLst>
        </c:ser>
        <c:ser>
          <c:idx val="3"/>
          <c:order val="3"/>
          <c:tx>
            <c:strRef>
              <c:f>'Retail, Autobahn, Logistik'!$E$2</c:f>
              <c:strCache>
                <c:ptCount val="1"/>
                <c:pt idx="0">
                  <c:v>Donnerstag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Logistik'!$E$3:$E$98</c:f>
              <c:numCache>
                <c:formatCode>0.000%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1.4064697609001407E-3</c:v>
                </c:pt>
                <c:pt idx="29">
                  <c:v>1.4064697609001407E-3</c:v>
                </c:pt>
                <c:pt idx="30">
                  <c:v>1.4064697609001407E-3</c:v>
                </c:pt>
                <c:pt idx="31">
                  <c:v>1.4064697609001407E-3</c:v>
                </c:pt>
                <c:pt idx="32">
                  <c:v>1.7580872011251757E-3</c:v>
                </c:pt>
                <c:pt idx="33">
                  <c:v>1.7580872011251757E-3</c:v>
                </c:pt>
                <c:pt idx="34">
                  <c:v>1.7580872011251757E-3</c:v>
                </c:pt>
                <c:pt idx="35">
                  <c:v>2.1097046413502108E-3</c:v>
                </c:pt>
                <c:pt idx="36">
                  <c:v>2.1097046413502108E-3</c:v>
                </c:pt>
                <c:pt idx="37">
                  <c:v>2.1097046413502108E-3</c:v>
                </c:pt>
                <c:pt idx="38">
                  <c:v>2.1097046413502108E-3</c:v>
                </c:pt>
                <c:pt idx="39">
                  <c:v>2.1097046413502108E-3</c:v>
                </c:pt>
                <c:pt idx="40">
                  <c:v>2.1097046413502108E-3</c:v>
                </c:pt>
                <c:pt idx="41">
                  <c:v>2.4613220815752463E-3</c:v>
                </c:pt>
                <c:pt idx="42">
                  <c:v>2.4613220815752463E-3</c:v>
                </c:pt>
                <c:pt idx="43">
                  <c:v>2.4613220815752463E-3</c:v>
                </c:pt>
                <c:pt idx="44">
                  <c:v>2.4613220815752463E-3</c:v>
                </c:pt>
                <c:pt idx="45">
                  <c:v>2.8129395218002813E-3</c:v>
                </c:pt>
                <c:pt idx="46">
                  <c:v>2.8129395218002813E-3</c:v>
                </c:pt>
                <c:pt idx="47">
                  <c:v>2.8129395218002813E-3</c:v>
                </c:pt>
                <c:pt idx="48">
                  <c:v>2.8129395218002813E-3</c:v>
                </c:pt>
                <c:pt idx="49">
                  <c:v>2.8129395218002813E-3</c:v>
                </c:pt>
                <c:pt idx="50">
                  <c:v>2.4613220815752463E-3</c:v>
                </c:pt>
                <c:pt idx="51">
                  <c:v>2.4613220815752463E-3</c:v>
                </c:pt>
                <c:pt idx="52">
                  <c:v>2.4613220815752463E-3</c:v>
                </c:pt>
                <c:pt idx="53">
                  <c:v>2.4613220815752463E-3</c:v>
                </c:pt>
                <c:pt idx="54">
                  <c:v>2.1097046413502108E-3</c:v>
                </c:pt>
                <c:pt idx="55">
                  <c:v>2.1097046413502108E-3</c:v>
                </c:pt>
                <c:pt idx="56">
                  <c:v>2.1097046413502108E-3</c:v>
                </c:pt>
                <c:pt idx="57">
                  <c:v>2.1097046413502108E-3</c:v>
                </c:pt>
                <c:pt idx="58">
                  <c:v>2.1097046413502108E-3</c:v>
                </c:pt>
                <c:pt idx="59">
                  <c:v>1.7580872011251757E-3</c:v>
                </c:pt>
                <c:pt idx="60">
                  <c:v>2.1097046413502108E-3</c:v>
                </c:pt>
                <c:pt idx="61">
                  <c:v>2.1097046413502108E-3</c:v>
                </c:pt>
                <c:pt idx="62">
                  <c:v>2.1097046413502108E-3</c:v>
                </c:pt>
                <c:pt idx="63">
                  <c:v>2.1097046413502108E-3</c:v>
                </c:pt>
                <c:pt idx="64">
                  <c:v>2.8129395218002813E-3</c:v>
                </c:pt>
                <c:pt idx="65">
                  <c:v>2.8129395218002813E-3</c:v>
                </c:pt>
                <c:pt idx="66">
                  <c:v>2.8129395218002813E-3</c:v>
                </c:pt>
                <c:pt idx="67">
                  <c:v>2.8129395218002813E-3</c:v>
                </c:pt>
                <c:pt idx="68">
                  <c:v>2.8129395218002813E-3</c:v>
                </c:pt>
                <c:pt idx="69">
                  <c:v>3.1645569620253164E-3</c:v>
                </c:pt>
                <c:pt idx="70">
                  <c:v>3.1645569620253164E-3</c:v>
                </c:pt>
                <c:pt idx="71">
                  <c:v>3.1645569620253164E-3</c:v>
                </c:pt>
                <c:pt idx="72">
                  <c:v>3.1645569620253164E-3</c:v>
                </c:pt>
                <c:pt idx="73">
                  <c:v>3.1645569620253164E-3</c:v>
                </c:pt>
                <c:pt idx="74">
                  <c:v>3.1645569620253164E-3</c:v>
                </c:pt>
                <c:pt idx="75">
                  <c:v>2.8129395218002813E-3</c:v>
                </c:pt>
                <c:pt idx="76">
                  <c:v>2.8129395218002813E-3</c:v>
                </c:pt>
                <c:pt idx="77">
                  <c:v>2.8129395218002813E-3</c:v>
                </c:pt>
                <c:pt idx="78">
                  <c:v>2.4613220815752463E-3</c:v>
                </c:pt>
                <c:pt idx="79">
                  <c:v>2.4613220815752463E-3</c:v>
                </c:pt>
                <c:pt idx="80">
                  <c:v>2.1097046413502108E-3</c:v>
                </c:pt>
                <c:pt idx="81">
                  <c:v>2.1097046413502108E-3</c:v>
                </c:pt>
                <c:pt idx="82">
                  <c:v>1.7580872011251757E-3</c:v>
                </c:pt>
                <c:pt idx="83">
                  <c:v>1.7580872011251757E-3</c:v>
                </c:pt>
                <c:pt idx="84">
                  <c:v>1.7580872011251757E-3</c:v>
                </c:pt>
                <c:pt idx="85">
                  <c:v>1.7580872011251757E-3</c:v>
                </c:pt>
                <c:pt idx="86">
                  <c:v>1.7580872011251757E-3</c:v>
                </c:pt>
                <c:pt idx="87">
                  <c:v>1.7580872011251757E-3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7-CD4A-8F8C-A9ABA6F655A6}"/>
            </c:ext>
          </c:extLst>
        </c:ser>
        <c:ser>
          <c:idx val="4"/>
          <c:order val="4"/>
          <c:tx>
            <c:strRef>
              <c:f>'Retail, Autobahn, Logistik'!$F$2</c:f>
              <c:strCache>
                <c:ptCount val="1"/>
                <c:pt idx="0">
                  <c:v>Freitag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Logistik'!$F$3:$F$98</c:f>
              <c:numCache>
                <c:formatCode>0.000%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1.4064697609001407E-3</c:v>
                </c:pt>
                <c:pt idx="29">
                  <c:v>1.4064697609001407E-3</c:v>
                </c:pt>
                <c:pt idx="30">
                  <c:v>1.4064697609001407E-3</c:v>
                </c:pt>
                <c:pt idx="31">
                  <c:v>1.7580872011251757E-3</c:v>
                </c:pt>
                <c:pt idx="32">
                  <c:v>1.7580872011251757E-3</c:v>
                </c:pt>
                <c:pt idx="33">
                  <c:v>1.7580872011251757E-3</c:v>
                </c:pt>
                <c:pt idx="34">
                  <c:v>2.1097046413502108E-3</c:v>
                </c:pt>
                <c:pt idx="35">
                  <c:v>2.1097046413502108E-3</c:v>
                </c:pt>
                <c:pt idx="36">
                  <c:v>2.1097046413502108E-3</c:v>
                </c:pt>
                <c:pt idx="37">
                  <c:v>2.1097046413502108E-3</c:v>
                </c:pt>
                <c:pt idx="38">
                  <c:v>2.1097046413502108E-3</c:v>
                </c:pt>
                <c:pt idx="39">
                  <c:v>2.1097046413502108E-3</c:v>
                </c:pt>
                <c:pt idx="40">
                  <c:v>2.1097046413502108E-3</c:v>
                </c:pt>
                <c:pt idx="41">
                  <c:v>2.1097046413502108E-3</c:v>
                </c:pt>
                <c:pt idx="42">
                  <c:v>2.1097046413502108E-3</c:v>
                </c:pt>
                <c:pt idx="43">
                  <c:v>2.1097046413502108E-3</c:v>
                </c:pt>
                <c:pt idx="44">
                  <c:v>2.1097046413502108E-3</c:v>
                </c:pt>
                <c:pt idx="45">
                  <c:v>2.4613220815752463E-3</c:v>
                </c:pt>
                <c:pt idx="46">
                  <c:v>2.4613220815752463E-3</c:v>
                </c:pt>
                <c:pt idx="47">
                  <c:v>2.4613220815752463E-3</c:v>
                </c:pt>
                <c:pt idx="48">
                  <c:v>2.8129395218002813E-3</c:v>
                </c:pt>
                <c:pt idx="49">
                  <c:v>2.8129395218002813E-3</c:v>
                </c:pt>
                <c:pt idx="50">
                  <c:v>2.8129395218002813E-3</c:v>
                </c:pt>
                <c:pt idx="51">
                  <c:v>2.8129395218002813E-3</c:v>
                </c:pt>
                <c:pt idx="52">
                  <c:v>2.8129395218002813E-3</c:v>
                </c:pt>
                <c:pt idx="53">
                  <c:v>2.8129395218002813E-3</c:v>
                </c:pt>
                <c:pt idx="54">
                  <c:v>3.1645569620253164E-3</c:v>
                </c:pt>
                <c:pt idx="55">
                  <c:v>3.1645569620253164E-3</c:v>
                </c:pt>
                <c:pt idx="56">
                  <c:v>3.1645569620253164E-3</c:v>
                </c:pt>
                <c:pt idx="57">
                  <c:v>3.1645569620253164E-3</c:v>
                </c:pt>
                <c:pt idx="58">
                  <c:v>3.1645569620253164E-3</c:v>
                </c:pt>
                <c:pt idx="59">
                  <c:v>3.5161744022503515E-3</c:v>
                </c:pt>
                <c:pt idx="60">
                  <c:v>3.1645569620253164E-3</c:v>
                </c:pt>
                <c:pt idx="61">
                  <c:v>3.1645569620253164E-3</c:v>
                </c:pt>
                <c:pt idx="62">
                  <c:v>3.1645569620253164E-3</c:v>
                </c:pt>
                <c:pt idx="63">
                  <c:v>3.5161744022503515E-3</c:v>
                </c:pt>
                <c:pt idx="64">
                  <c:v>3.1645569620253164E-3</c:v>
                </c:pt>
                <c:pt idx="65">
                  <c:v>3.5161744022503515E-3</c:v>
                </c:pt>
                <c:pt idx="66">
                  <c:v>3.5161744022503515E-3</c:v>
                </c:pt>
                <c:pt idx="67">
                  <c:v>3.5161744022503515E-3</c:v>
                </c:pt>
                <c:pt idx="68">
                  <c:v>3.5161744022503515E-3</c:v>
                </c:pt>
                <c:pt idx="69">
                  <c:v>3.5161744022503515E-3</c:v>
                </c:pt>
                <c:pt idx="70">
                  <c:v>3.5161744022503515E-3</c:v>
                </c:pt>
                <c:pt idx="71">
                  <c:v>3.867791842475387E-3</c:v>
                </c:pt>
                <c:pt idx="72">
                  <c:v>3.867791842475387E-3</c:v>
                </c:pt>
                <c:pt idx="73">
                  <c:v>3.867791842475387E-3</c:v>
                </c:pt>
                <c:pt idx="74">
                  <c:v>3.5161744022503515E-3</c:v>
                </c:pt>
                <c:pt idx="75">
                  <c:v>3.5161744022503515E-3</c:v>
                </c:pt>
                <c:pt idx="76">
                  <c:v>3.5161744022503515E-3</c:v>
                </c:pt>
                <c:pt idx="77">
                  <c:v>3.5161744022503515E-3</c:v>
                </c:pt>
                <c:pt idx="78">
                  <c:v>3.5161744022503515E-3</c:v>
                </c:pt>
                <c:pt idx="79">
                  <c:v>3.1645569620253164E-3</c:v>
                </c:pt>
                <c:pt idx="80">
                  <c:v>2.8129395218002813E-3</c:v>
                </c:pt>
                <c:pt idx="81">
                  <c:v>2.8129395218002813E-3</c:v>
                </c:pt>
                <c:pt idx="82">
                  <c:v>2.8129395218002813E-3</c:v>
                </c:pt>
                <c:pt idx="83">
                  <c:v>2.8129395218002813E-3</c:v>
                </c:pt>
                <c:pt idx="84">
                  <c:v>2.4613220815752463E-3</c:v>
                </c:pt>
                <c:pt idx="85">
                  <c:v>2.4613220815752463E-3</c:v>
                </c:pt>
                <c:pt idx="86">
                  <c:v>2.4613220815752463E-3</c:v>
                </c:pt>
                <c:pt idx="87">
                  <c:v>2.4613220815752463E-3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77-CD4A-8F8C-A9ABA6F655A6}"/>
            </c:ext>
          </c:extLst>
        </c:ser>
        <c:ser>
          <c:idx val="5"/>
          <c:order val="5"/>
          <c:tx>
            <c:strRef>
              <c:f>'Retail, Autobahn, Logistik'!$G$2</c:f>
              <c:strCache>
                <c:ptCount val="1"/>
                <c:pt idx="0">
                  <c:v>Samstag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Logistik'!$G$3:$G$98</c:f>
              <c:numCache>
                <c:formatCode>0.000%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1.4064697609001407E-3</c:v>
                </c:pt>
                <c:pt idx="29">
                  <c:v>1.4064697609001407E-3</c:v>
                </c:pt>
                <c:pt idx="30">
                  <c:v>1.4064697609001407E-3</c:v>
                </c:pt>
                <c:pt idx="31">
                  <c:v>1.4064697609001407E-3</c:v>
                </c:pt>
                <c:pt idx="32">
                  <c:v>2.1097046413502108E-3</c:v>
                </c:pt>
                <c:pt idx="33">
                  <c:v>2.1097046413502108E-3</c:v>
                </c:pt>
                <c:pt idx="34">
                  <c:v>2.1097046413502108E-3</c:v>
                </c:pt>
                <c:pt idx="35">
                  <c:v>2.1097046413502108E-3</c:v>
                </c:pt>
                <c:pt idx="36">
                  <c:v>2.8129395218002813E-3</c:v>
                </c:pt>
                <c:pt idx="37">
                  <c:v>2.8129395218002813E-3</c:v>
                </c:pt>
                <c:pt idx="38">
                  <c:v>2.8129395218002813E-3</c:v>
                </c:pt>
                <c:pt idx="39">
                  <c:v>2.8129395218002813E-3</c:v>
                </c:pt>
                <c:pt idx="40">
                  <c:v>3.5161744022503515E-3</c:v>
                </c:pt>
                <c:pt idx="41">
                  <c:v>3.5161744022503515E-3</c:v>
                </c:pt>
                <c:pt idx="42">
                  <c:v>3.5161744022503515E-3</c:v>
                </c:pt>
                <c:pt idx="43">
                  <c:v>3.5161744022503515E-3</c:v>
                </c:pt>
                <c:pt idx="44">
                  <c:v>3.867791842475387E-3</c:v>
                </c:pt>
                <c:pt idx="45">
                  <c:v>3.867791842475387E-3</c:v>
                </c:pt>
                <c:pt idx="46">
                  <c:v>3.867791842475387E-3</c:v>
                </c:pt>
                <c:pt idx="47">
                  <c:v>3.867791842475387E-3</c:v>
                </c:pt>
                <c:pt idx="48">
                  <c:v>4.2194092827004216E-3</c:v>
                </c:pt>
                <c:pt idx="49">
                  <c:v>4.2194092827004216E-3</c:v>
                </c:pt>
                <c:pt idx="50">
                  <c:v>4.2194092827004216E-3</c:v>
                </c:pt>
                <c:pt idx="51">
                  <c:v>4.2194092827004216E-3</c:v>
                </c:pt>
                <c:pt idx="52">
                  <c:v>4.2194092827004216E-3</c:v>
                </c:pt>
                <c:pt idx="53">
                  <c:v>4.2194092827004216E-3</c:v>
                </c:pt>
                <c:pt idx="54">
                  <c:v>4.2194092827004216E-3</c:v>
                </c:pt>
                <c:pt idx="55">
                  <c:v>4.2194092827004216E-3</c:v>
                </c:pt>
                <c:pt idx="56">
                  <c:v>3.867791842475387E-3</c:v>
                </c:pt>
                <c:pt idx="57">
                  <c:v>3.867791842475387E-3</c:v>
                </c:pt>
                <c:pt idx="58">
                  <c:v>3.867791842475387E-3</c:v>
                </c:pt>
                <c:pt idx="59">
                  <c:v>3.867791842475387E-3</c:v>
                </c:pt>
                <c:pt idx="60">
                  <c:v>3.5161744022503515E-3</c:v>
                </c:pt>
                <c:pt idx="61">
                  <c:v>3.5161744022503515E-3</c:v>
                </c:pt>
                <c:pt idx="62">
                  <c:v>3.5161744022503515E-3</c:v>
                </c:pt>
                <c:pt idx="63">
                  <c:v>3.1645569620253164E-3</c:v>
                </c:pt>
                <c:pt idx="64">
                  <c:v>3.1645569620253164E-3</c:v>
                </c:pt>
                <c:pt idx="65">
                  <c:v>3.1645569620253164E-3</c:v>
                </c:pt>
                <c:pt idx="66">
                  <c:v>3.5161744022503515E-3</c:v>
                </c:pt>
                <c:pt idx="67">
                  <c:v>3.5161744022503515E-3</c:v>
                </c:pt>
                <c:pt idx="68">
                  <c:v>3.5161744022503515E-3</c:v>
                </c:pt>
                <c:pt idx="69">
                  <c:v>3.867791842475387E-3</c:v>
                </c:pt>
                <c:pt idx="70">
                  <c:v>3.867791842475387E-3</c:v>
                </c:pt>
                <c:pt idx="71">
                  <c:v>3.867791842475387E-3</c:v>
                </c:pt>
                <c:pt idx="72">
                  <c:v>3.867791842475387E-3</c:v>
                </c:pt>
                <c:pt idx="73">
                  <c:v>4.2194092827004216E-3</c:v>
                </c:pt>
                <c:pt idx="74">
                  <c:v>4.2194092827004216E-3</c:v>
                </c:pt>
                <c:pt idx="75">
                  <c:v>4.2194092827004216E-3</c:v>
                </c:pt>
                <c:pt idx="76">
                  <c:v>4.9226441631504926E-3</c:v>
                </c:pt>
                <c:pt idx="77">
                  <c:v>4.9226441631504926E-3</c:v>
                </c:pt>
                <c:pt idx="78">
                  <c:v>4.9226441631504926E-3</c:v>
                </c:pt>
                <c:pt idx="79">
                  <c:v>4.9226441631504926E-3</c:v>
                </c:pt>
                <c:pt idx="80">
                  <c:v>4.2194092827004216E-3</c:v>
                </c:pt>
                <c:pt idx="81">
                  <c:v>4.2194092827004216E-3</c:v>
                </c:pt>
                <c:pt idx="82">
                  <c:v>4.2194092827004216E-3</c:v>
                </c:pt>
                <c:pt idx="83">
                  <c:v>4.2194092827004216E-3</c:v>
                </c:pt>
                <c:pt idx="84">
                  <c:v>3.5161744022503515E-3</c:v>
                </c:pt>
                <c:pt idx="85">
                  <c:v>3.5161744022503515E-3</c:v>
                </c:pt>
                <c:pt idx="86">
                  <c:v>3.5161744022503515E-3</c:v>
                </c:pt>
                <c:pt idx="87">
                  <c:v>3.5161744022503515E-3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77-CD4A-8F8C-A9ABA6F655A6}"/>
            </c:ext>
          </c:extLst>
        </c:ser>
        <c:ser>
          <c:idx val="6"/>
          <c:order val="6"/>
          <c:tx>
            <c:strRef>
              <c:f>'Retail, Autobahn, Logistik'!$H$2</c:f>
              <c:strCache>
                <c:ptCount val="1"/>
                <c:pt idx="0">
                  <c:v>Sonntag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Logistik'!$H$3:$H$98</c:f>
              <c:numCache>
                <c:formatCode>0.000%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77-CD4A-8F8C-A9ABA6F65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160719"/>
        <c:axId val="547649183"/>
      </c:lineChart>
      <c:catAx>
        <c:axId val="4411607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7649183"/>
        <c:crosses val="autoZero"/>
        <c:auto val="1"/>
        <c:lblAlgn val="ctr"/>
        <c:lblOffset val="100"/>
        <c:noMultiLvlLbl val="0"/>
      </c:catAx>
      <c:valAx>
        <c:axId val="54764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116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strRef>
              <c:f>'Retail, Autobahn, Logistik'!$I$2</c:f>
              <c:strCache>
                <c:ptCount val="1"/>
                <c:pt idx="0">
                  <c:v>Montag2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Logistik'!$I$3:$I$98</c:f>
              <c:numCache>
                <c:formatCode>0.000%</c:formatCode>
                <c:ptCount val="96"/>
                <c:pt idx="0">
                  <c:v>1.4494504167169948E-3</c:v>
                </c:pt>
                <c:pt idx="1">
                  <c:v>1.4494504167169948E-3</c:v>
                </c:pt>
                <c:pt idx="2">
                  <c:v>1.4494504167169948E-3</c:v>
                </c:pt>
                <c:pt idx="3">
                  <c:v>1.4494504167169948E-3</c:v>
                </c:pt>
                <c:pt idx="4">
                  <c:v>1.3286628819905786E-3</c:v>
                </c:pt>
                <c:pt idx="5">
                  <c:v>1.3286628819905786E-3</c:v>
                </c:pt>
                <c:pt idx="6">
                  <c:v>1.3286628819905786E-3</c:v>
                </c:pt>
                <c:pt idx="7">
                  <c:v>1.2078753472641623E-3</c:v>
                </c:pt>
                <c:pt idx="8">
                  <c:v>1.0870878125377461E-3</c:v>
                </c:pt>
                <c:pt idx="9">
                  <c:v>1.0870878125377461E-3</c:v>
                </c:pt>
                <c:pt idx="10">
                  <c:v>1.0870878125377461E-3</c:v>
                </c:pt>
                <c:pt idx="11">
                  <c:v>1.0870878125377461E-3</c:v>
                </c:pt>
                <c:pt idx="12">
                  <c:v>1.0870878125377461E-3</c:v>
                </c:pt>
                <c:pt idx="13">
                  <c:v>1.0870878125377461E-3</c:v>
                </c:pt>
                <c:pt idx="14">
                  <c:v>1.0870878125377461E-3</c:v>
                </c:pt>
                <c:pt idx="15">
                  <c:v>1.0870878125377461E-3</c:v>
                </c:pt>
                <c:pt idx="16">
                  <c:v>1.0870878125377461E-3</c:v>
                </c:pt>
                <c:pt idx="17">
                  <c:v>1.0870878125377461E-3</c:v>
                </c:pt>
                <c:pt idx="18">
                  <c:v>1.0870878125377461E-3</c:v>
                </c:pt>
                <c:pt idx="19">
                  <c:v>1.0870878125377461E-3</c:v>
                </c:pt>
                <c:pt idx="20">
                  <c:v>9.6630027781132984E-4</c:v>
                </c:pt>
                <c:pt idx="21">
                  <c:v>9.6630027781132984E-4</c:v>
                </c:pt>
                <c:pt idx="22">
                  <c:v>9.6630027781132984E-4</c:v>
                </c:pt>
                <c:pt idx="23">
                  <c:v>9.6630027781132984E-4</c:v>
                </c:pt>
                <c:pt idx="24">
                  <c:v>9.6630027781132984E-4</c:v>
                </c:pt>
                <c:pt idx="25">
                  <c:v>9.6630027781132984E-4</c:v>
                </c:pt>
                <c:pt idx="26">
                  <c:v>1.0870878125377461E-3</c:v>
                </c:pt>
                <c:pt idx="27">
                  <c:v>1.0870878125377461E-3</c:v>
                </c:pt>
                <c:pt idx="28">
                  <c:v>1.0870878125377461E-3</c:v>
                </c:pt>
                <c:pt idx="29">
                  <c:v>1.0870878125377461E-3</c:v>
                </c:pt>
                <c:pt idx="30">
                  <c:v>1.2078753472641623E-3</c:v>
                </c:pt>
                <c:pt idx="31">
                  <c:v>1.2078753472641623E-3</c:v>
                </c:pt>
                <c:pt idx="32">
                  <c:v>1.2078753472641623E-3</c:v>
                </c:pt>
                <c:pt idx="33">
                  <c:v>1.2078753472641623E-3</c:v>
                </c:pt>
                <c:pt idx="34">
                  <c:v>1.3286628819905786E-3</c:v>
                </c:pt>
                <c:pt idx="35">
                  <c:v>1.3286628819905786E-3</c:v>
                </c:pt>
                <c:pt idx="36">
                  <c:v>1.3286628819905786E-3</c:v>
                </c:pt>
                <c:pt idx="37">
                  <c:v>1.3286628819905786E-3</c:v>
                </c:pt>
                <c:pt idx="38">
                  <c:v>1.4494504167169948E-3</c:v>
                </c:pt>
                <c:pt idx="39">
                  <c:v>1.4494504167169948E-3</c:v>
                </c:pt>
                <c:pt idx="40">
                  <c:v>1.4494504167169948E-3</c:v>
                </c:pt>
                <c:pt idx="41">
                  <c:v>1.4494504167169948E-3</c:v>
                </c:pt>
                <c:pt idx="42">
                  <c:v>1.3286628819905786E-3</c:v>
                </c:pt>
                <c:pt idx="43">
                  <c:v>1.3286628819905786E-3</c:v>
                </c:pt>
                <c:pt idx="44">
                  <c:v>1.570237951443411E-3</c:v>
                </c:pt>
                <c:pt idx="45">
                  <c:v>1.570237951443411E-3</c:v>
                </c:pt>
                <c:pt idx="46">
                  <c:v>1.570237951443411E-3</c:v>
                </c:pt>
                <c:pt idx="47">
                  <c:v>1.570237951443411E-3</c:v>
                </c:pt>
                <c:pt idx="48">
                  <c:v>1.8118130208962435E-3</c:v>
                </c:pt>
                <c:pt idx="49">
                  <c:v>1.8118130208962435E-3</c:v>
                </c:pt>
                <c:pt idx="50">
                  <c:v>1.9326005556226597E-3</c:v>
                </c:pt>
                <c:pt idx="51">
                  <c:v>1.9326005556226597E-3</c:v>
                </c:pt>
                <c:pt idx="52">
                  <c:v>1.9326005556226597E-3</c:v>
                </c:pt>
                <c:pt idx="53">
                  <c:v>1.9326005556226597E-3</c:v>
                </c:pt>
                <c:pt idx="54">
                  <c:v>1.8118130208962435E-3</c:v>
                </c:pt>
                <c:pt idx="55">
                  <c:v>1.8118130208962435E-3</c:v>
                </c:pt>
                <c:pt idx="56">
                  <c:v>1.8118130208962435E-3</c:v>
                </c:pt>
                <c:pt idx="57">
                  <c:v>1.8118130208962435E-3</c:v>
                </c:pt>
                <c:pt idx="58">
                  <c:v>1.9326005556226597E-3</c:v>
                </c:pt>
                <c:pt idx="59">
                  <c:v>1.9326005556226597E-3</c:v>
                </c:pt>
                <c:pt idx="60">
                  <c:v>1.8118130208962435E-3</c:v>
                </c:pt>
                <c:pt idx="61">
                  <c:v>1.8118130208962435E-3</c:v>
                </c:pt>
                <c:pt idx="62">
                  <c:v>1.9326005556226597E-3</c:v>
                </c:pt>
                <c:pt idx="63">
                  <c:v>1.9326005556226597E-3</c:v>
                </c:pt>
                <c:pt idx="64">
                  <c:v>1.8118130208962435E-3</c:v>
                </c:pt>
                <c:pt idx="65">
                  <c:v>1.8118130208962435E-3</c:v>
                </c:pt>
                <c:pt idx="66">
                  <c:v>1.8118130208962435E-3</c:v>
                </c:pt>
                <c:pt idx="67">
                  <c:v>1.8118130208962435E-3</c:v>
                </c:pt>
                <c:pt idx="68">
                  <c:v>1.6910254861698273E-3</c:v>
                </c:pt>
                <c:pt idx="69">
                  <c:v>1.6910254861698273E-3</c:v>
                </c:pt>
                <c:pt idx="70">
                  <c:v>1.6910254861698273E-3</c:v>
                </c:pt>
                <c:pt idx="71">
                  <c:v>1.570237951443411E-3</c:v>
                </c:pt>
                <c:pt idx="72">
                  <c:v>1.6910254861698273E-3</c:v>
                </c:pt>
                <c:pt idx="73">
                  <c:v>1.6910254861698273E-3</c:v>
                </c:pt>
                <c:pt idx="74">
                  <c:v>1.6910254861698273E-3</c:v>
                </c:pt>
                <c:pt idx="75">
                  <c:v>1.6910254861698273E-3</c:v>
                </c:pt>
                <c:pt idx="76">
                  <c:v>1.6910254861698273E-3</c:v>
                </c:pt>
                <c:pt idx="77">
                  <c:v>1.6910254861698273E-3</c:v>
                </c:pt>
                <c:pt idx="78">
                  <c:v>1.6910254861698273E-3</c:v>
                </c:pt>
                <c:pt idx="79">
                  <c:v>1.8118130208962435E-3</c:v>
                </c:pt>
                <c:pt idx="80">
                  <c:v>1.6910254861698273E-3</c:v>
                </c:pt>
                <c:pt idx="81">
                  <c:v>1.6910254861698273E-3</c:v>
                </c:pt>
                <c:pt idx="82">
                  <c:v>1.6910254861698273E-3</c:v>
                </c:pt>
                <c:pt idx="83">
                  <c:v>1.6910254861698273E-3</c:v>
                </c:pt>
                <c:pt idx="84">
                  <c:v>1.6910254861698273E-3</c:v>
                </c:pt>
                <c:pt idx="85">
                  <c:v>1.6910254861698273E-3</c:v>
                </c:pt>
                <c:pt idx="86">
                  <c:v>1.6910254861698273E-3</c:v>
                </c:pt>
                <c:pt idx="87">
                  <c:v>1.8118130208962435E-3</c:v>
                </c:pt>
                <c:pt idx="88">
                  <c:v>1.8118130208962435E-3</c:v>
                </c:pt>
                <c:pt idx="89">
                  <c:v>1.8118130208962435E-3</c:v>
                </c:pt>
                <c:pt idx="90">
                  <c:v>1.8118130208962435E-3</c:v>
                </c:pt>
                <c:pt idx="91">
                  <c:v>1.8118130208962435E-3</c:v>
                </c:pt>
                <c:pt idx="92">
                  <c:v>1.8118130208962435E-3</c:v>
                </c:pt>
                <c:pt idx="93">
                  <c:v>1.8118130208962435E-3</c:v>
                </c:pt>
                <c:pt idx="94">
                  <c:v>1.6910254861698273E-3</c:v>
                </c:pt>
                <c:pt idx="95">
                  <c:v>1.6910254861698273E-3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1A-3545-9EB4-0541006E37C0}"/>
            </c:ext>
          </c:extLst>
        </c:ser>
        <c:ser>
          <c:idx val="8"/>
          <c:order val="1"/>
          <c:tx>
            <c:strRef>
              <c:f>'Retail, Autobahn, Logistik'!$J$2</c:f>
              <c:strCache>
                <c:ptCount val="1"/>
                <c:pt idx="0">
                  <c:v>Dienstag2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Logistik'!$J$3:$J$98</c:f>
              <c:numCache>
                <c:formatCode>0.000%</c:formatCode>
                <c:ptCount val="96"/>
                <c:pt idx="0">
                  <c:v>1.2078753472641623E-3</c:v>
                </c:pt>
                <c:pt idx="1">
                  <c:v>1.2078753472641623E-3</c:v>
                </c:pt>
                <c:pt idx="2">
                  <c:v>1.0870878125377461E-3</c:v>
                </c:pt>
                <c:pt idx="3">
                  <c:v>1.0870878125377461E-3</c:v>
                </c:pt>
                <c:pt idx="4">
                  <c:v>1.0870878125377461E-3</c:v>
                </c:pt>
                <c:pt idx="5">
                  <c:v>1.0870878125377461E-3</c:v>
                </c:pt>
                <c:pt idx="6">
                  <c:v>1.0870878125377461E-3</c:v>
                </c:pt>
                <c:pt idx="7">
                  <c:v>1.0870878125377461E-3</c:v>
                </c:pt>
                <c:pt idx="8">
                  <c:v>9.6630027781132984E-4</c:v>
                </c:pt>
                <c:pt idx="9">
                  <c:v>9.6630027781132984E-4</c:v>
                </c:pt>
                <c:pt idx="10">
                  <c:v>9.6630027781132984E-4</c:v>
                </c:pt>
                <c:pt idx="11">
                  <c:v>9.6630027781132984E-4</c:v>
                </c:pt>
                <c:pt idx="12">
                  <c:v>9.6630027781132984E-4</c:v>
                </c:pt>
                <c:pt idx="13">
                  <c:v>9.6630027781132984E-4</c:v>
                </c:pt>
                <c:pt idx="14">
                  <c:v>9.6630027781132984E-4</c:v>
                </c:pt>
                <c:pt idx="15">
                  <c:v>1.0870878125377461E-3</c:v>
                </c:pt>
                <c:pt idx="16">
                  <c:v>1.0870878125377461E-3</c:v>
                </c:pt>
                <c:pt idx="17">
                  <c:v>9.6630027781132984E-4</c:v>
                </c:pt>
                <c:pt idx="18">
                  <c:v>9.6630027781132984E-4</c:v>
                </c:pt>
                <c:pt idx="19">
                  <c:v>9.6630027781132984E-4</c:v>
                </c:pt>
                <c:pt idx="20">
                  <c:v>9.6630027781132984E-4</c:v>
                </c:pt>
                <c:pt idx="21">
                  <c:v>8.4551274308491367E-4</c:v>
                </c:pt>
                <c:pt idx="22">
                  <c:v>8.4551274308491367E-4</c:v>
                </c:pt>
                <c:pt idx="23">
                  <c:v>8.4551274308491367E-4</c:v>
                </c:pt>
                <c:pt idx="24">
                  <c:v>8.4551274308491367E-4</c:v>
                </c:pt>
                <c:pt idx="25">
                  <c:v>8.4551274308491367E-4</c:v>
                </c:pt>
                <c:pt idx="26">
                  <c:v>7.247252083584974E-4</c:v>
                </c:pt>
                <c:pt idx="27">
                  <c:v>7.247252083584974E-4</c:v>
                </c:pt>
                <c:pt idx="28">
                  <c:v>8.4551274308491367E-4</c:v>
                </c:pt>
                <c:pt idx="29">
                  <c:v>9.6630027781132984E-4</c:v>
                </c:pt>
                <c:pt idx="30">
                  <c:v>9.6630027781132984E-4</c:v>
                </c:pt>
                <c:pt idx="31">
                  <c:v>9.6630027781132984E-4</c:v>
                </c:pt>
                <c:pt idx="32">
                  <c:v>9.6630027781132984E-4</c:v>
                </c:pt>
                <c:pt idx="33">
                  <c:v>9.6630027781132984E-4</c:v>
                </c:pt>
                <c:pt idx="34">
                  <c:v>9.6630027781132984E-4</c:v>
                </c:pt>
                <c:pt idx="35">
                  <c:v>9.6630027781132984E-4</c:v>
                </c:pt>
                <c:pt idx="36">
                  <c:v>1.0870878125377461E-3</c:v>
                </c:pt>
                <c:pt idx="37">
                  <c:v>1.0870878125377461E-3</c:v>
                </c:pt>
                <c:pt idx="38">
                  <c:v>1.0870878125377461E-3</c:v>
                </c:pt>
                <c:pt idx="39">
                  <c:v>1.0870878125377461E-3</c:v>
                </c:pt>
                <c:pt idx="40">
                  <c:v>1.2078753472641623E-3</c:v>
                </c:pt>
                <c:pt idx="41">
                  <c:v>1.2078753472641623E-3</c:v>
                </c:pt>
                <c:pt idx="42">
                  <c:v>1.2078753472641623E-3</c:v>
                </c:pt>
                <c:pt idx="43">
                  <c:v>1.2078753472641623E-3</c:v>
                </c:pt>
                <c:pt idx="44">
                  <c:v>1.3286628819905786E-3</c:v>
                </c:pt>
                <c:pt idx="45">
                  <c:v>1.3286628819905786E-3</c:v>
                </c:pt>
                <c:pt idx="46">
                  <c:v>1.3286628819905786E-3</c:v>
                </c:pt>
                <c:pt idx="47">
                  <c:v>1.3286628819905786E-3</c:v>
                </c:pt>
                <c:pt idx="48">
                  <c:v>1.3286628819905786E-3</c:v>
                </c:pt>
                <c:pt idx="49">
                  <c:v>1.4494504167169948E-3</c:v>
                </c:pt>
                <c:pt idx="50">
                  <c:v>1.4494504167169948E-3</c:v>
                </c:pt>
                <c:pt idx="51">
                  <c:v>1.4494504167169948E-3</c:v>
                </c:pt>
                <c:pt idx="52">
                  <c:v>1.4494504167169948E-3</c:v>
                </c:pt>
                <c:pt idx="53">
                  <c:v>1.4494504167169948E-3</c:v>
                </c:pt>
                <c:pt idx="54">
                  <c:v>1.4494504167169948E-3</c:v>
                </c:pt>
                <c:pt idx="55">
                  <c:v>1.4494504167169948E-3</c:v>
                </c:pt>
                <c:pt idx="56">
                  <c:v>1.4494504167169948E-3</c:v>
                </c:pt>
                <c:pt idx="57">
                  <c:v>1.4494504167169948E-3</c:v>
                </c:pt>
                <c:pt idx="58">
                  <c:v>1.4494504167169948E-3</c:v>
                </c:pt>
                <c:pt idx="59">
                  <c:v>1.3286628819905786E-3</c:v>
                </c:pt>
                <c:pt idx="60">
                  <c:v>1.3286628819905786E-3</c:v>
                </c:pt>
                <c:pt idx="61">
                  <c:v>1.3286628819905786E-3</c:v>
                </c:pt>
                <c:pt idx="62">
                  <c:v>1.3286628819905786E-3</c:v>
                </c:pt>
                <c:pt idx="63">
                  <c:v>1.3286628819905786E-3</c:v>
                </c:pt>
                <c:pt idx="64">
                  <c:v>1.3286628819905786E-3</c:v>
                </c:pt>
                <c:pt idx="65">
                  <c:v>1.3286628819905786E-3</c:v>
                </c:pt>
                <c:pt idx="66">
                  <c:v>1.3286628819905786E-3</c:v>
                </c:pt>
                <c:pt idx="67">
                  <c:v>1.4494504167169948E-3</c:v>
                </c:pt>
                <c:pt idx="68">
                  <c:v>1.4494504167169948E-3</c:v>
                </c:pt>
                <c:pt idx="69">
                  <c:v>1.4494504167169948E-3</c:v>
                </c:pt>
                <c:pt idx="70">
                  <c:v>1.4494504167169948E-3</c:v>
                </c:pt>
                <c:pt idx="71">
                  <c:v>1.4494504167169948E-3</c:v>
                </c:pt>
                <c:pt idx="72">
                  <c:v>1.4494504167169948E-3</c:v>
                </c:pt>
                <c:pt idx="73">
                  <c:v>1.4494504167169948E-3</c:v>
                </c:pt>
                <c:pt idx="74">
                  <c:v>1.4494504167169948E-3</c:v>
                </c:pt>
                <c:pt idx="75">
                  <c:v>1.4494504167169948E-3</c:v>
                </c:pt>
                <c:pt idx="76">
                  <c:v>1.4494504167169948E-3</c:v>
                </c:pt>
                <c:pt idx="77">
                  <c:v>1.4494504167169948E-3</c:v>
                </c:pt>
                <c:pt idx="78">
                  <c:v>1.4494504167169948E-3</c:v>
                </c:pt>
                <c:pt idx="79">
                  <c:v>1.4494504167169948E-3</c:v>
                </c:pt>
                <c:pt idx="80">
                  <c:v>1.4494504167169948E-3</c:v>
                </c:pt>
                <c:pt idx="81">
                  <c:v>1.4494504167169948E-3</c:v>
                </c:pt>
                <c:pt idx="82">
                  <c:v>1.4494504167169948E-3</c:v>
                </c:pt>
                <c:pt idx="83">
                  <c:v>1.4494504167169948E-3</c:v>
                </c:pt>
                <c:pt idx="84">
                  <c:v>1.570237951443411E-3</c:v>
                </c:pt>
                <c:pt idx="85">
                  <c:v>1.570237951443411E-3</c:v>
                </c:pt>
                <c:pt idx="86">
                  <c:v>1.570237951443411E-3</c:v>
                </c:pt>
                <c:pt idx="87">
                  <c:v>1.570237951443411E-3</c:v>
                </c:pt>
                <c:pt idx="88">
                  <c:v>1.570237951443411E-3</c:v>
                </c:pt>
                <c:pt idx="89">
                  <c:v>1.570237951443411E-3</c:v>
                </c:pt>
                <c:pt idx="90">
                  <c:v>1.570237951443411E-3</c:v>
                </c:pt>
                <c:pt idx="91">
                  <c:v>1.570237951443411E-3</c:v>
                </c:pt>
                <c:pt idx="92">
                  <c:v>1.570237951443411E-3</c:v>
                </c:pt>
                <c:pt idx="93">
                  <c:v>1.4494504167169948E-3</c:v>
                </c:pt>
                <c:pt idx="94">
                  <c:v>1.4494504167169948E-3</c:v>
                </c:pt>
                <c:pt idx="95">
                  <c:v>1.4494504167169948E-3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1A-3545-9EB4-0541006E37C0}"/>
            </c:ext>
          </c:extLst>
        </c:ser>
        <c:ser>
          <c:idx val="9"/>
          <c:order val="2"/>
          <c:tx>
            <c:strRef>
              <c:f>'Retail, Autobahn, Logistik'!$K$2</c:f>
              <c:strCache>
                <c:ptCount val="1"/>
                <c:pt idx="0">
                  <c:v>Mittwoch2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Logistik'!$K$3:$K$98</c:f>
              <c:numCache>
                <c:formatCode>0.000%</c:formatCode>
                <c:ptCount val="96"/>
                <c:pt idx="0">
                  <c:v>1.4494504167169948E-3</c:v>
                </c:pt>
                <c:pt idx="1">
                  <c:v>1.4494504167169948E-3</c:v>
                </c:pt>
                <c:pt idx="2">
                  <c:v>1.4494504167169948E-3</c:v>
                </c:pt>
                <c:pt idx="3">
                  <c:v>1.4494504167169948E-3</c:v>
                </c:pt>
                <c:pt idx="4">
                  <c:v>1.3286628819905786E-3</c:v>
                </c:pt>
                <c:pt idx="5">
                  <c:v>1.3286628819905786E-3</c:v>
                </c:pt>
                <c:pt idx="6">
                  <c:v>1.3286628819905786E-3</c:v>
                </c:pt>
                <c:pt idx="7">
                  <c:v>1.3286628819905786E-3</c:v>
                </c:pt>
                <c:pt idx="8">
                  <c:v>1.2078753472641623E-3</c:v>
                </c:pt>
                <c:pt idx="9">
                  <c:v>1.2078753472641623E-3</c:v>
                </c:pt>
                <c:pt idx="10">
                  <c:v>1.0870878125377461E-3</c:v>
                </c:pt>
                <c:pt idx="11">
                  <c:v>1.0870878125377461E-3</c:v>
                </c:pt>
                <c:pt idx="12">
                  <c:v>1.0870878125377461E-3</c:v>
                </c:pt>
                <c:pt idx="13">
                  <c:v>1.0870878125377461E-3</c:v>
                </c:pt>
                <c:pt idx="14">
                  <c:v>1.0870878125377461E-3</c:v>
                </c:pt>
                <c:pt idx="15">
                  <c:v>1.0870878125377461E-3</c:v>
                </c:pt>
                <c:pt idx="16">
                  <c:v>1.0870878125377461E-3</c:v>
                </c:pt>
                <c:pt idx="17">
                  <c:v>9.6630027781132984E-4</c:v>
                </c:pt>
                <c:pt idx="18">
                  <c:v>9.6630027781132984E-4</c:v>
                </c:pt>
                <c:pt idx="19">
                  <c:v>9.6630027781132984E-4</c:v>
                </c:pt>
                <c:pt idx="20">
                  <c:v>9.6630027781132984E-4</c:v>
                </c:pt>
                <c:pt idx="21">
                  <c:v>9.6630027781132984E-4</c:v>
                </c:pt>
                <c:pt idx="22">
                  <c:v>9.6630027781132984E-4</c:v>
                </c:pt>
                <c:pt idx="23">
                  <c:v>9.6630027781132984E-4</c:v>
                </c:pt>
                <c:pt idx="24">
                  <c:v>9.6630027781132984E-4</c:v>
                </c:pt>
                <c:pt idx="25">
                  <c:v>9.6630027781132984E-4</c:v>
                </c:pt>
                <c:pt idx="26">
                  <c:v>9.6630027781132984E-4</c:v>
                </c:pt>
                <c:pt idx="27">
                  <c:v>1.0870878125377461E-3</c:v>
                </c:pt>
                <c:pt idx="28">
                  <c:v>1.0870878125377461E-3</c:v>
                </c:pt>
                <c:pt idx="29">
                  <c:v>1.0870878125377461E-3</c:v>
                </c:pt>
                <c:pt idx="30">
                  <c:v>1.0870878125377461E-3</c:v>
                </c:pt>
                <c:pt idx="31">
                  <c:v>1.0870878125377461E-3</c:v>
                </c:pt>
                <c:pt idx="32">
                  <c:v>1.0870878125377461E-3</c:v>
                </c:pt>
                <c:pt idx="33">
                  <c:v>1.0870878125377461E-3</c:v>
                </c:pt>
                <c:pt idx="34">
                  <c:v>1.0870878125377461E-3</c:v>
                </c:pt>
                <c:pt idx="35">
                  <c:v>1.2078753472641623E-3</c:v>
                </c:pt>
                <c:pt idx="36">
                  <c:v>1.0870878125377461E-3</c:v>
                </c:pt>
                <c:pt idx="37">
                  <c:v>1.2078753472641623E-3</c:v>
                </c:pt>
                <c:pt idx="38">
                  <c:v>1.2078753472641623E-3</c:v>
                </c:pt>
                <c:pt idx="39">
                  <c:v>1.2078753472641623E-3</c:v>
                </c:pt>
                <c:pt idx="40">
                  <c:v>1.2078753472641623E-3</c:v>
                </c:pt>
                <c:pt idx="41">
                  <c:v>1.2078753472641623E-3</c:v>
                </c:pt>
                <c:pt idx="42">
                  <c:v>1.2078753472641623E-3</c:v>
                </c:pt>
                <c:pt idx="43">
                  <c:v>1.3286628819905786E-3</c:v>
                </c:pt>
                <c:pt idx="44">
                  <c:v>1.3286628819905786E-3</c:v>
                </c:pt>
                <c:pt idx="45">
                  <c:v>1.3286628819905786E-3</c:v>
                </c:pt>
                <c:pt idx="46">
                  <c:v>1.3286628819905786E-3</c:v>
                </c:pt>
                <c:pt idx="47">
                  <c:v>1.3286628819905786E-3</c:v>
                </c:pt>
                <c:pt idx="48">
                  <c:v>1.4494504167169948E-3</c:v>
                </c:pt>
                <c:pt idx="49">
                  <c:v>1.4494504167169948E-3</c:v>
                </c:pt>
                <c:pt idx="50">
                  <c:v>1.570237951443411E-3</c:v>
                </c:pt>
                <c:pt idx="51">
                  <c:v>1.570237951443411E-3</c:v>
                </c:pt>
                <c:pt idx="52">
                  <c:v>1.570237951443411E-3</c:v>
                </c:pt>
                <c:pt idx="53">
                  <c:v>1.570237951443411E-3</c:v>
                </c:pt>
                <c:pt idx="54">
                  <c:v>1.570237951443411E-3</c:v>
                </c:pt>
                <c:pt idx="55">
                  <c:v>1.4494504167169948E-3</c:v>
                </c:pt>
                <c:pt idx="56">
                  <c:v>1.4494504167169948E-3</c:v>
                </c:pt>
                <c:pt idx="57">
                  <c:v>1.4494504167169948E-3</c:v>
                </c:pt>
                <c:pt idx="58">
                  <c:v>1.570237951443411E-3</c:v>
                </c:pt>
                <c:pt idx="59">
                  <c:v>1.570237951443411E-3</c:v>
                </c:pt>
                <c:pt idx="60">
                  <c:v>1.4494504167169948E-3</c:v>
                </c:pt>
                <c:pt idx="61">
                  <c:v>1.4494504167169948E-3</c:v>
                </c:pt>
                <c:pt idx="62">
                  <c:v>1.4494504167169948E-3</c:v>
                </c:pt>
                <c:pt idx="63">
                  <c:v>1.4494504167169948E-3</c:v>
                </c:pt>
                <c:pt idx="64">
                  <c:v>1.4494504167169948E-3</c:v>
                </c:pt>
                <c:pt idx="65">
                  <c:v>1.4494504167169948E-3</c:v>
                </c:pt>
                <c:pt idx="66">
                  <c:v>1.570237951443411E-3</c:v>
                </c:pt>
                <c:pt idx="67">
                  <c:v>1.570237951443411E-3</c:v>
                </c:pt>
                <c:pt idx="68">
                  <c:v>1.570237951443411E-3</c:v>
                </c:pt>
                <c:pt idx="69">
                  <c:v>1.570237951443411E-3</c:v>
                </c:pt>
                <c:pt idx="70">
                  <c:v>1.570237951443411E-3</c:v>
                </c:pt>
                <c:pt idx="71">
                  <c:v>1.570237951443411E-3</c:v>
                </c:pt>
                <c:pt idx="72">
                  <c:v>1.570237951443411E-3</c:v>
                </c:pt>
                <c:pt idx="73">
                  <c:v>1.570237951443411E-3</c:v>
                </c:pt>
                <c:pt idx="74">
                  <c:v>1.6910254861698273E-3</c:v>
                </c:pt>
                <c:pt idx="75">
                  <c:v>1.6910254861698273E-3</c:v>
                </c:pt>
                <c:pt idx="76">
                  <c:v>1.6910254861698273E-3</c:v>
                </c:pt>
                <c:pt idx="77">
                  <c:v>1.6910254861698273E-3</c:v>
                </c:pt>
                <c:pt idx="78">
                  <c:v>1.6910254861698273E-3</c:v>
                </c:pt>
                <c:pt idx="79">
                  <c:v>1.6910254861698273E-3</c:v>
                </c:pt>
                <c:pt idx="80">
                  <c:v>1.6910254861698273E-3</c:v>
                </c:pt>
                <c:pt idx="81">
                  <c:v>1.6910254861698273E-3</c:v>
                </c:pt>
                <c:pt idx="82">
                  <c:v>1.8118130208962435E-3</c:v>
                </c:pt>
                <c:pt idx="83">
                  <c:v>1.8118130208962435E-3</c:v>
                </c:pt>
                <c:pt idx="84">
                  <c:v>1.8118130208962435E-3</c:v>
                </c:pt>
                <c:pt idx="85">
                  <c:v>1.8118130208962435E-3</c:v>
                </c:pt>
                <c:pt idx="86">
                  <c:v>1.8118130208962435E-3</c:v>
                </c:pt>
                <c:pt idx="87">
                  <c:v>1.8118130208962435E-3</c:v>
                </c:pt>
                <c:pt idx="88">
                  <c:v>1.8118130208962435E-3</c:v>
                </c:pt>
                <c:pt idx="89">
                  <c:v>1.8118130208962435E-3</c:v>
                </c:pt>
                <c:pt idx="90">
                  <c:v>1.8118130208962435E-3</c:v>
                </c:pt>
                <c:pt idx="91">
                  <c:v>1.8118130208962435E-3</c:v>
                </c:pt>
                <c:pt idx="92">
                  <c:v>1.8118130208962435E-3</c:v>
                </c:pt>
                <c:pt idx="93">
                  <c:v>1.8118130208962435E-3</c:v>
                </c:pt>
                <c:pt idx="94">
                  <c:v>1.8118130208962435E-3</c:v>
                </c:pt>
                <c:pt idx="95">
                  <c:v>1.8118130208962435E-3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1A-3545-9EB4-0541006E37C0}"/>
            </c:ext>
          </c:extLst>
        </c:ser>
        <c:ser>
          <c:idx val="10"/>
          <c:order val="3"/>
          <c:tx>
            <c:strRef>
              <c:f>'Retail, Autobahn, Logistik'!$L$2</c:f>
              <c:strCache>
                <c:ptCount val="1"/>
                <c:pt idx="0">
                  <c:v>Donnerstag2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Logistik'!$L$3:$L$98</c:f>
              <c:numCache>
                <c:formatCode>0.000%</c:formatCode>
                <c:ptCount val="96"/>
                <c:pt idx="0">
                  <c:v>1.4494504167169948E-3</c:v>
                </c:pt>
                <c:pt idx="1">
                  <c:v>1.4494504167169948E-3</c:v>
                </c:pt>
                <c:pt idx="2">
                  <c:v>1.4494504167169948E-3</c:v>
                </c:pt>
                <c:pt idx="3">
                  <c:v>1.3286628819905786E-3</c:v>
                </c:pt>
                <c:pt idx="4">
                  <c:v>1.2078753472641623E-3</c:v>
                </c:pt>
                <c:pt idx="5">
                  <c:v>1.2078753472641623E-3</c:v>
                </c:pt>
                <c:pt idx="6">
                  <c:v>1.0870878125377461E-3</c:v>
                </c:pt>
                <c:pt idx="7">
                  <c:v>1.0870878125377461E-3</c:v>
                </c:pt>
                <c:pt idx="8">
                  <c:v>1.0870878125377461E-3</c:v>
                </c:pt>
                <c:pt idx="9">
                  <c:v>1.0870878125377461E-3</c:v>
                </c:pt>
                <c:pt idx="10">
                  <c:v>1.0870878125377461E-3</c:v>
                </c:pt>
                <c:pt idx="11">
                  <c:v>9.6630027781132984E-4</c:v>
                </c:pt>
                <c:pt idx="12">
                  <c:v>9.6630027781132984E-4</c:v>
                </c:pt>
                <c:pt idx="13">
                  <c:v>9.6630027781132984E-4</c:v>
                </c:pt>
                <c:pt idx="14">
                  <c:v>1.0870878125377461E-3</c:v>
                </c:pt>
                <c:pt idx="15">
                  <c:v>1.0870878125377461E-3</c:v>
                </c:pt>
                <c:pt idx="16">
                  <c:v>1.0870878125377461E-3</c:v>
                </c:pt>
                <c:pt idx="17">
                  <c:v>1.0870878125377461E-3</c:v>
                </c:pt>
                <c:pt idx="18">
                  <c:v>1.0870878125377461E-3</c:v>
                </c:pt>
                <c:pt idx="19">
                  <c:v>1.2078753472641623E-3</c:v>
                </c:pt>
                <c:pt idx="20">
                  <c:v>1.0870878125377461E-3</c:v>
                </c:pt>
                <c:pt idx="21">
                  <c:v>1.2078753472641623E-3</c:v>
                </c:pt>
                <c:pt idx="22">
                  <c:v>1.2078753472641623E-3</c:v>
                </c:pt>
                <c:pt idx="23">
                  <c:v>1.2078753472641623E-3</c:v>
                </c:pt>
                <c:pt idx="24">
                  <c:v>1.2078753472641623E-3</c:v>
                </c:pt>
                <c:pt idx="25">
                  <c:v>1.2078753472641623E-3</c:v>
                </c:pt>
                <c:pt idx="26">
                  <c:v>1.3286628819905786E-3</c:v>
                </c:pt>
                <c:pt idx="27">
                  <c:v>1.3286628819905786E-3</c:v>
                </c:pt>
                <c:pt idx="28">
                  <c:v>1.3286628819905786E-3</c:v>
                </c:pt>
                <c:pt idx="29">
                  <c:v>1.2078753472641623E-3</c:v>
                </c:pt>
                <c:pt idx="30">
                  <c:v>1.2078753472641623E-3</c:v>
                </c:pt>
                <c:pt idx="31">
                  <c:v>1.2078753472641623E-3</c:v>
                </c:pt>
                <c:pt idx="32">
                  <c:v>1.2078753472641623E-3</c:v>
                </c:pt>
                <c:pt idx="33">
                  <c:v>1.2078753472641623E-3</c:v>
                </c:pt>
                <c:pt idx="34">
                  <c:v>1.3286628819905786E-3</c:v>
                </c:pt>
                <c:pt idx="35">
                  <c:v>1.3286628819905786E-3</c:v>
                </c:pt>
                <c:pt idx="36">
                  <c:v>1.2078753472641623E-3</c:v>
                </c:pt>
                <c:pt idx="37">
                  <c:v>1.3286628819905786E-3</c:v>
                </c:pt>
                <c:pt idx="38">
                  <c:v>1.3286628819905786E-3</c:v>
                </c:pt>
                <c:pt idx="39">
                  <c:v>1.3286628819905786E-3</c:v>
                </c:pt>
                <c:pt idx="40">
                  <c:v>1.3286628819905786E-3</c:v>
                </c:pt>
                <c:pt idx="41">
                  <c:v>1.4494504167169948E-3</c:v>
                </c:pt>
                <c:pt idx="42">
                  <c:v>1.4494504167169948E-3</c:v>
                </c:pt>
                <c:pt idx="43">
                  <c:v>1.4494504167169948E-3</c:v>
                </c:pt>
                <c:pt idx="44">
                  <c:v>1.570237951443411E-3</c:v>
                </c:pt>
                <c:pt idx="45">
                  <c:v>1.570237951443411E-3</c:v>
                </c:pt>
                <c:pt idx="46">
                  <c:v>1.6910254861698273E-3</c:v>
                </c:pt>
                <c:pt idx="47">
                  <c:v>1.6910254861698273E-3</c:v>
                </c:pt>
                <c:pt idx="48">
                  <c:v>1.9326005556226597E-3</c:v>
                </c:pt>
                <c:pt idx="49">
                  <c:v>1.9326005556226597E-3</c:v>
                </c:pt>
                <c:pt idx="50">
                  <c:v>1.9326005556226597E-3</c:v>
                </c:pt>
                <c:pt idx="51">
                  <c:v>2.0533880903490761E-3</c:v>
                </c:pt>
                <c:pt idx="52">
                  <c:v>2.0533880903490761E-3</c:v>
                </c:pt>
                <c:pt idx="53">
                  <c:v>2.0533880903490761E-3</c:v>
                </c:pt>
                <c:pt idx="54">
                  <c:v>2.0533880903490761E-3</c:v>
                </c:pt>
                <c:pt idx="55">
                  <c:v>2.1741756250754922E-3</c:v>
                </c:pt>
                <c:pt idx="56">
                  <c:v>1.9326005556226597E-3</c:v>
                </c:pt>
                <c:pt idx="57">
                  <c:v>1.9326005556226597E-3</c:v>
                </c:pt>
                <c:pt idx="58">
                  <c:v>1.9326005556226597E-3</c:v>
                </c:pt>
                <c:pt idx="59">
                  <c:v>1.9326005556226597E-3</c:v>
                </c:pt>
                <c:pt idx="60">
                  <c:v>1.8118130208962435E-3</c:v>
                </c:pt>
                <c:pt idx="61">
                  <c:v>1.8118130208962435E-3</c:v>
                </c:pt>
                <c:pt idx="62">
                  <c:v>1.6910254861698273E-3</c:v>
                </c:pt>
                <c:pt idx="63">
                  <c:v>1.6910254861698273E-3</c:v>
                </c:pt>
                <c:pt idx="64">
                  <c:v>1.6910254861698273E-3</c:v>
                </c:pt>
                <c:pt idx="65">
                  <c:v>1.6910254861698273E-3</c:v>
                </c:pt>
                <c:pt idx="66">
                  <c:v>1.570237951443411E-3</c:v>
                </c:pt>
                <c:pt idx="67">
                  <c:v>1.570237951443411E-3</c:v>
                </c:pt>
                <c:pt idx="68">
                  <c:v>1.570237951443411E-3</c:v>
                </c:pt>
                <c:pt idx="69">
                  <c:v>1.570237951443411E-3</c:v>
                </c:pt>
                <c:pt idx="70">
                  <c:v>1.6910254861698273E-3</c:v>
                </c:pt>
                <c:pt idx="71">
                  <c:v>1.6910254861698273E-3</c:v>
                </c:pt>
                <c:pt idx="72">
                  <c:v>1.6910254861698273E-3</c:v>
                </c:pt>
                <c:pt idx="73">
                  <c:v>1.570237951443411E-3</c:v>
                </c:pt>
                <c:pt idx="74">
                  <c:v>1.570237951443411E-3</c:v>
                </c:pt>
                <c:pt idx="75">
                  <c:v>1.6910254861698273E-3</c:v>
                </c:pt>
                <c:pt idx="76">
                  <c:v>1.6910254861698273E-3</c:v>
                </c:pt>
                <c:pt idx="77">
                  <c:v>1.6910254861698273E-3</c:v>
                </c:pt>
                <c:pt idx="78">
                  <c:v>1.6910254861698273E-3</c:v>
                </c:pt>
                <c:pt idx="79">
                  <c:v>1.570237951443411E-3</c:v>
                </c:pt>
                <c:pt idx="80">
                  <c:v>1.570237951443411E-3</c:v>
                </c:pt>
                <c:pt idx="81">
                  <c:v>1.6910254861698273E-3</c:v>
                </c:pt>
                <c:pt idx="82">
                  <c:v>1.6910254861698273E-3</c:v>
                </c:pt>
                <c:pt idx="83">
                  <c:v>1.6910254861698273E-3</c:v>
                </c:pt>
                <c:pt idx="84">
                  <c:v>1.6910254861698273E-3</c:v>
                </c:pt>
                <c:pt idx="85">
                  <c:v>1.6910254861698273E-3</c:v>
                </c:pt>
                <c:pt idx="86">
                  <c:v>1.570237951443411E-3</c:v>
                </c:pt>
                <c:pt idx="87">
                  <c:v>1.570237951443411E-3</c:v>
                </c:pt>
                <c:pt idx="88">
                  <c:v>1.6910254861698273E-3</c:v>
                </c:pt>
                <c:pt idx="89">
                  <c:v>1.6910254861698273E-3</c:v>
                </c:pt>
                <c:pt idx="90">
                  <c:v>1.6910254861698273E-3</c:v>
                </c:pt>
                <c:pt idx="91">
                  <c:v>1.6910254861698273E-3</c:v>
                </c:pt>
                <c:pt idx="92">
                  <c:v>1.6910254861698273E-3</c:v>
                </c:pt>
                <c:pt idx="93">
                  <c:v>1.6910254861698273E-3</c:v>
                </c:pt>
                <c:pt idx="94">
                  <c:v>1.6910254861698273E-3</c:v>
                </c:pt>
                <c:pt idx="95">
                  <c:v>1.6910254861698273E-3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1A-3545-9EB4-0541006E37C0}"/>
            </c:ext>
          </c:extLst>
        </c:ser>
        <c:ser>
          <c:idx val="11"/>
          <c:order val="4"/>
          <c:tx>
            <c:strRef>
              <c:f>'Retail, Autobahn, Logistik'!$M$2</c:f>
              <c:strCache>
                <c:ptCount val="1"/>
                <c:pt idx="0">
                  <c:v>Freitag2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Logistik'!$M$3:$M$98</c:f>
              <c:numCache>
                <c:formatCode>0.000%</c:formatCode>
                <c:ptCount val="96"/>
                <c:pt idx="0">
                  <c:v>1.8118130208962435E-3</c:v>
                </c:pt>
                <c:pt idx="1">
                  <c:v>1.8118130208962435E-3</c:v>
                </c:pt>
                <c:pt idx="2">
                  <c:v>1.8118130208962435E-3</c:v>
                </c:pt>
                <c:pt idx="3">
                  <c:v>1.8118130208962435E-3</c:v>
                </c:pt>
                <c:pt idx="4">
                  <c:v>1.570237951443411E-3</c:v>
                </c:pt>
                <c:pt idx="5">
                  <c:v>1.570237951443411E-3</c:v>
                </c:pt>
                <c:pt idx="6">
                  <c:v>1.570237951443411E-3</c:v>
                </c:pt>
                <c:pt idx="7">
                  <c:v>1.3286628819905786E-3</c:v>
                </c:pt>
                <c:pt idx="8">
                  <c:v>1.3286628819905786E-3</c:v>
                </c:pt>
                <c:pt idx="9">
                  <c:v>1.3286628819905786E-3</c:v>
                </c:pt>
                <c:pt idx="10">
                  <c:v>1.3286628819905786E-3</c:v>
                </c:pt>
                <c:pt idx="11">
                  <c:v>1.3286628819905786E-3</c:v>
                </c:pt>
                <c:pt idx="12">
                  <c:v>1.2078753472641623E-3</c:v>
                </c:pt>
                <c:pt idx="13">
                  <c:v>1.2078753472641623E-3</c:v>
                </c:pt>
                <c:pt idx="14">
                  <c:v>1.0870878125377461E-3</c:v>
                </c:pt>
                <c:pt idx="15">
                  <c:v>1.0870878125377461E-3</c:v>
                </c:pt>
                <c:pt idx="16">
                  <c:v>9.6630027781132984E-4</c:v>
                </c:pt>
                <c:pt idx="17">
                  <c:v>9.6630027781132984E-4</c:v>
                </c:pt>
                <c:pt idx="18">
                  <c:v>9.6630027781132984E-4</c:v>
                </c:pt>
                <c:pt idx="19">
                  <c:v>9.6630027781132984E-4</c:v>
                </c:pt>
                <c:pt idx="20">
                  <c:v>9.6630027781132984E-4</c:v>
                </c:pt>
                <c:pt idx="21">
                  <c:v>9.6630027781132984E-4</c:v>
                </c:pt>
                <c:pt idx="22">
                  <c:v>9.6630027781132984E-4</c:v>
                </c:pt>
                <c:pt idx="23">
                  <c:v>9.6630027781132984E-4</c:v>
                </c:pt>
                <c:pt idx="24">
                  <c:v>9.6630027781132984E-4</c:v>
                </c:pt>
                <c:pt idx="25">
                  <c:v>9.6630027781132984E-4</c:v>
                </c:pt>
                <c:pt idx="26">
                  <c:v>9.6630027781132984E-4</c:v>
                </c:pt>
                <c:pt idx="27">
                  <c:v>9.6630027781132984E-4</c:v>
                </c:pt>
                <c:pt idx="28">
                  <c:v>1.0870878125377461E-3</c:v>
                </c:pt>
                <c:pt idx="29">
                  <c:v>1.0870878125377461E-3</c:v>
                </c:pt>
                <c:pt idx="30">
                  <c:v>1.0870878125377461E-3</c:v>
                </c:pt>
                <c:pt idx="31">
                  <c:v>1.0870878125377461E-3</c:v>
                </c:pt>
                <c:pt idx="32">
                  <c:v>1.2078753472641623E-3</c:v>
                </c:pt>
                <c:pt idx="33">
                  <c:v>1.3286628819905786E-3</c:v>
                </c:pt>
                <c:pt idx="34">
                  <c:v>1.3286628819905786E-3</c:v>
                </c:pt>
                <c:pt idx="35">
                  <c:v>1.3286628819905786E-3</c:v>
                </c:pt>
                <c:pt idx="36">
                  <c:v>1.4494504167169948E-3</c:v>
                </c:pt>
                <c:pt idx="37">
                  <c:v>1.4494504167169948E-3</c:v>
                </c:pt>
                <c:pt idx="38">
                  <c:v>1.4494504167169948E-3</c:v>
                </c:pt>
                <c:pt idx="39">
                  <c:v>1.4494504167169948E-3</c:v>
                </c:pt>
                <c:pt idx="40">
                  <c:v>1.570237951443411E-3</c:v>
                </c:pt>
                <c:pt idx="41">
                  <c:v>1.570237951443411E-3</c:v>
                </c:pt>
                <c:pt idx="42">
                  <c:v>1.570237951443411E-3</c:v>
                </c:pt>
                <c:pt idx="43">
                  <c:v>1.6910254861698273E-3</c:v>
                </c:pt>
                <c:pt idx="44">
                  <c:v>1.9326005556226597E-3</c:v>
                </c:pt>
                <c:pt idx="45">
                  <c:v>1.9326005556226597E-3</c:v>
                </c:pt>
                <c:pt idx="46">
                  <c:v>1.9326005556226597E-3</c:v>
                </c:pt>
                <c:pt idx="47">
                  <c:v>1.9326005556226597E-3</c:v>
                </c:pt>
                <c:pt idx="48">
                  <c:v>2.2949631598019084E-3</c:v>
                </c:pt>
                <c:pt idx="49">
                  <c:v>2.2949631598019084E-3</c:v>
                </c:pt>
                <c:pt idx="50">
                  <c:v>2.2949631598019084E-3</c:v>
                </c:pt>
                <c:pt idx="51">
                  <c:v>2.2949631598019084E-3</c:v>
                </c:pt>
                <c:pt idx="52">
                  <c:v>2.4157506945283245E-3</c:v>
                </c:pt>
                <c:pt idx="53">
                  <c:v>2.5365382292547407E-3</c:v>
                </c:pt>
                <c:pt idx="54">
                  <c:v>2.5365382292547407E-3</c:v>
                </c:pt>
                <c:pt idx="55">
                  <c:v>2.5365382292547407E-3</c:v>
                </c:pt>
                <c:pt idx="56">
                  <c:v>2.4157506945283245E-3</c:v>
                </c:pt>
                <c:pt idx="57">
                  <c:v>2.4157506945283245E-3</c:v>
                </c:pt>
                <c:pt idx="58">
                  <c:v>2.4157506945283245E-3</c:v>
                </c:pt>
                <c:pt idx="59">
                  <c:v>2.4157506945283245E-3</c:v>
                </c:pt>
                <c:pt idx="60">
                  <c:v>2.2949631598019084E-3</c:v>
                </c:pt>
                <c:pt idx="61">
                  <c:v>2.2949631598019084E-3</c:v>
                </c:pt>
                <c:pt idx="62">
                  <c:v>2.2949631598019084E-3</c:v>
                </c:pt>
                <c:pt idx="63">
                  <c:v>2.1741756250754922E-3</c:v>
                </c:pt>
                <c:pt idx="64">
                  <c:v>2.1741756250754922E-3</c:v>
                </c:pt>
                <c:pt idx="65">
                  <c:v>2.1741756250754922E-3</c:v>
                </c:pt>
                <c:pt idx="66">
                  <c:v>2.1741756250754922E-3</c:v>
                </c:pt>
                <c:pt idx="67">
                  <c:v>2.1741756250754922E-3</c:v>
                </c:pt>
                <c:pt idx="68">
                  <c:v>2.1741756250754922E-3</c:v>
                </c:pt>
                <c:pt idx="69">
                  <c:v>2.2949631598019084E-3</c:v>
                </c:pt>
                <c:pt idx="70">
                  <c:v>2.2949631598019084E-3</c:v>
                </c:pt>
                <c:pt idx="71">
                  <c:v>2.2949631598019084E-3</c:v>
                </c:pt>
                <c:pt idx="72">
                  <c:v>2.4157506945283245E-3</c:v>
                </c:pt>
                <c:pt idx="73">
                  <c:v>2.4157506945283245E-3</c:v>
                </c:pt>
                <c:pt idx="74">
                  <c:v>2.5365382292547407E-3</c:v>
                </c:pt>
                <c:pt idx="75">
                  <c:v>2.5365382292547407E-3</c:v>
                </c:pt>
                <c:pt idx="76">
                  <c:v>2.6573257639811573E-3</c:v>
                </c:pt>
                <c:pt idx="77">
                  <c:v>2.6573257639811573E-3</c:v>
                </c:pt>
                <c:pt idx="78">
                  <c:v>2.6573257639811573E-3</c:v>
                </c:pt>
                <c:pt idx="79">
                  <c:v>2.6573257639811573E-3</c:v>
                </c:pt>
                <c:pt idx="80">
                  <c:v>2.6573257639811573E-3</c:v>
                </c:pt>
                <c:pt idx="81">
                  <c:v>2.6573257639811573E-3</c:v>
                </c:pt>
                <c:pt idx="82">
                  <c:v>2.6573257639811573E-3</c:v>
                </c:pt>
                <c:pt idx="83">
                  <c:v>2.7781132987075735E-3</c:v>
                </c:pt>
                <c:pt idx="84">
                  <c:v>2.7781132987075735E-3</c:v>
                </c:pt>
                <c:pt idx="85">
                  <c:v>2.6573257639811573E-3</c:v>
                </c:pt>
                <c:pt idx="86">
                  <c:v>2.6573257639811573E-3</c:v>
                </c:pt>
                <c:pt idx="87">
                  <c:v>2.6573257639811573E-3</c:v>
                </c:pt>
                <c:pt idx="88">
                  <c:v>2.6573257639811573E-3</c:v>
                </c:pt>
                <c:pt idx="89">
                  <c:v>2.5365382292547407E-3</c:v>
                </c:pt>
                <c:pt idx="90">
                  <c:v>2.5365382292547407E-3</c:v>
                </c:pt>
                <c:pt idx="91">
                  <c:v>2.5365382292547407E-3</c:v>
                </c:pt>
                <c:pt idx="92">
                  <c:v>2.4157506945283245E-3</c:v>
                </c:pt>
                <c:pt idx="93">
                  <c:v>2.4157506945283245E-3</c:v>
                </c:pt>
                <c:pt idx="94">
                  <c:v>2.2949631598019084E-3</c:v>
                </c:pt>
                <c:pt idx="95">
                  <c:v>2.2949631598019084E-3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1A-3545-9EB4-0541006E37C0}"/>
            </c:ext>
          </c:extLst>
        </c:ser>
        <c:ser>
          <c:idx val="12"/>
          <c:order val="5"/>
          <c:tx>
            <c:strRef>
              <c:f>'Retail, Autobahn, Logistik'!$N$2</c:f>
              <c:strCache>
                <c:ptCount val="1"/>
                <c:pt idx="0">
                  <c:v>Samstag2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Logistik'!$N$3:$N$98</c:f>
              <c:numCache>
                <c:formatCode>0.000%</c:formatCode>
                <c:ptCount val="96"/>
                <c:pt idx="0">
                  <c:v>7.247252083584974E-4</c:v>
                </c:pt>
                <c:pt idx="1">
                  <c:v>7.247252083584974E-4</c:v>
                </c:pt>
                <c:pt idx="2">
                  <c:v>6.0393767363208113E-4</c:v>
                </c:pt>
                <c:pt idx="3">
                  <c:v>6.0393767363208113E-4</c:v>
                </c:pt>
                <c:pt idx="4">
                  <c:v>6.0393767363208113E-4</c:v>
                </c:pt>
                <c:pt idx="5">
                  <c:v>6.0393767363208113E-4</c:v>
                </c:pt>
                <c:pt idx="6">
                  <c:v>6.0393767363208113E-4</c:v>
                </c:pt>
                <c:pt idx="7">
                  <c:v>4.8315013890566492E-4</c:v>
                </c:pt>
                <c:pt idx="8">
                  <c:v>6.0393767363208113E-4</c:v>
                </c:pt>
                <c:pt idx="9">
                  <c:v>6.0393767363208113E-4</c:v>
                </c:pt>
                <c:pt idx="10">
                  <c:v>6.0393767363208113E-4</c:v>
                </c:pt>
                <c:pt idx="11">
                  <c:v>6.0393767363208113E-4</c:v>
                </c:pt>
                <c:pt idx="12">
                  <c:v>7.247252083584974E-4</c:v>
                </c:pt>
                <c:pt idx="13">
                  <c:v>7.247252083584974E-4</c:v>
                </c:pt>
                <c:pt idx="14">
                  <c:v>7.247252083584974E-4</c:v>
                </c:pt>
                <c:pt idx="15">
                  <c:v>8.4551274308491367E-4</c:v>
                </c:pt>
                <c:pt idx="16">
                  <c:v>9.6630027781132984E-4</c:v>
                </c:pt>
                <c:pt idx="17">
                  <c:v>9.6630027781132984E-4</c:v>
                </c:pt>
                <c:pt idx="18">
                  <c:v>1.0870878125377461E-3</c:v>
                </c:pt>
                <c:pt idx="19">
                  <c:v>1.0870878125377461E-3</c:v>
                </c:pt>
                <c:pt idx="20">
                  <c:v>1.2078753472641623E-3</c:v>
                </c:pt>
                <c:pt idx="21">
                  <c:v>1.2078753472641623E-3</c:v>
                </c:pt>
                <c:pt idx="22">
                  <c:v>1.2078753472641623E-3</c:v>
                </c:pt>
                <c:pt idx="23">
                  <c:v>1.2078753472641623E-3</c:v>
                </c:pt>
                <c:pt idx="24">
                  <c:v>1.3286628819905786E-3</c:v>
                </c:pt>
                <c:pt idx="25">
                  <c:v>1.4494504167169948E-3</c:v>
                </c:pt>
                <c:pt idx="26">
                  <c:v>1.4494504167169948E-3</c:v>
                </c:pt>
                <c:pt idx="27">
                  <c:v>1.4494504167169948E-3</c:v>
                </c:pt>
                <c:pt idx="28">
                  <c:v>1.570237951443411E-3</c:v>
                </c:pt>
                <c:pt idx="29">
                  <c:v>1.6910254861698273E-3</c:v>
                </c:pt>
                <c:pt idx="30">
                  <c:v>1.6910254861698273E-3</c:v>
                </c:pt>
                <c:pt idx="31">
                  <c:v>1.6910254861698273E-3</c:v>
                </c:pt>
                <c:pt idx="32">
                  <c:v>1.8118130208962435E-3</c:v>
                </c:pt>
                <c:pt idx="33">
                  <c:v>1.8118130208962435E-3</c:v>
                </c:pt>
                <c:pt idx="34">
                  <c:v>1.8118130208962435E-3</c:v>
                </c:pt>
                <c:pt idx="35">
                  <c:v>1.9326005556226597E-3</c:v>
                </c:pt>
                <c:pt idx="36">
                  <c:v>2.0533880903490761E-3</c:v>
                </c:pt>
                <c:pt idx="37">
                  <c:v>2.0533880903490761E-3</c:v>
                </c:pt>
                <c:pt idx="38">
                  <c:v>2.0533880903490761E-3</c:v>
                </c:pt>
                <c:pt idx="39">
                  <c:v>2.0533880903490761E-3</c:v>
                </c:pt>
                <c:pt idx="40">
                  <c:v>2.1741756250754922E-3</c:v>
                </c:pt>
                <c:pt idx="41">
                  <c:v>2.2949631598019084E-3</c:v>
                </c:pt>
                <c:pt idx="42">
                  <c:v>2.2949631598019084E-3</c:v>
                </c:pt>
                <c:pt idx="43">
                  <c:v>2.2949631598019084E-3</c:v>
                </c:pt>
                <c:pt idx="44">
                  <c:v>2.5365382292547407E-3</c:v>
                </c:pt>
                <c:pt idx="45">
                  <c:v>2.5365382292547407E-3</c:v>
                </c:pt>
                <c:pt idx="46">
                  <c:v>2.5365382292547407E-3</c:v>
                </c:pt>
                <c:pt idx="47">
                  <c:v>2.6573257639811573E-3</c:v>
                </c:pt>
                <c:pt idx="48">
                  <c:v>2.6573257639811573E-3</c:v>
                </c:pt>
                <c:pt idx="49">
                  <c:v>2.7781132987075735E-3</c:v>
                </c:pt>
                <c:pt idx="50">
                  <c:v>2.7781132987075735E-3</c:v>
                </c:pt>
                <c:pt idx="51">
                  <c:v>2.6573257639811573E-3</c:v>
                </c:pt>
                <c:pt idx="52">
                  <c:v>2.6573257639811573E-3</c:v>
                </c:pt>
                <c:pt idx="53">
                  <c:v>2.6573257639811573E-3</c:v>
                </c:pt>
                <c:pt idx="54">
                  <c:v>2.6573257639811573E-3</c:v>
                </c:pt>
                <c:pt idx="55">
                  <c:v>2.6573257639811573E-3</c:v>
                </c:pt>
                <c:pt idx="56">
                  <c:v>2.2949631598019084E-3</c:v>
                </c:pt>
                <c:pt idx="57">
                  <c:v>2.2949631598019084E-3</c:v>
                </c:pt>
                <c:pt idx="58">
                  <c:v>2.2949631598019084E-3</c:v>
                </c:pt>
                <c:pt idx="59">
                  <c:v>2.1741756250754922E-3</c:v>
                </c:pt>
                <c:pt idx="60">
                  <c:v>1.9326005556226597E-3</c:v>
                </c:pt>
                <c:pt idx="61">
                  <c:v>1.9326005556226597E-3</c:v>
                </c:pt>
                <c:pt idx="62">
                  <c:v>1.9326005556226597E-3</c:v>
                </c:pt>
                <c:pt idx="63">
                  <c:v>1.8118130208962435E-3</c:v>
                </c:pt>
                <c:pt idx="64">
                  <c:v>1.4494504167169948E-3</c:v>
                </c:pt>
                <c:pt idx="65">
                  <c:v>1.4494504167169948E-3</c:v>
                </c:pt>
                <c:pt idx="66">
                  <c:v>1.4494504167169948E-3</c:v>
                </c:pt>
                <c:pt idx="67">
                  <c:v>1.4494504167169948E-3</c:v>
                </c:pt>
                <c:pt idx="68">
                  <c:v>1.2078753472641623E-3</c:v>
                </c:pt>
                <c:pt idx="69">
                  <c:v>1.2078753472641623E-3</c:v>
                </c:pt>
                <c:pt idx="70">
                  <c:v>1.0870878125377461E-3</c:v>
                </c:pt>
                <c:pt idx="71">
                  <c:v>1.0870878125377461E-3</c:v>
                </c:pt>
                <c:pt idx="72">
                  <c:v>9.6630027781132984E-4</c:v>
                </c:pt>
                <c:pt idx="73">
                  <c:v>9.6630027781132984E-4</c:v>
                </c:pt>
                <c:pt idx="74">
                  <c:v>9.6630027781132984E-4</c:v>
                </c:pt>
                <c:pt idx="75">
                  <c:v>9.6630027781132984E-4</c:v>
                </c:pt>
                <c:pt idx="76">
                  <c:v>9.6630027781132984E-4</c:v>
                </c:pt>
                <c:pt idx="77">
                  <c:v>9.6630027781132984E-4</c:v>
                </c:pt>
                <c:pt idx="78">
                  <c:v>9.6630027781132984E-4</c:v>
                </c:pt>
                <c:pt idx="79">
                  <c:v>9.6630027781132984E-4</c:v>
                </c:pt>
                <c:pt idx="80">
                  <c:v>9.6630027781132984E-4</c:v>
                </c:pt>
                <c:pt idx="81">
                  <c:v>9.6630027781132984E-4</c:v>
                </c:pt>
                <c:pt idx="82">
                  <c:v>9.6630027781132984E-4</c:v>
                </c:pt>
                <c:pt idx="83">
                  <c:v>9.6630027781132984E-4</c:v>
                </c:pt>
                <c:pt idx="84">
                  <c:v>9.6630027781132984E-4</c:v>
                </c:pt>
                <c:pt idx="85">
                  <c:v>9.6630027781132984E-4</c:v>
                </c:pt>
                <c:pt idx="86">
                  <c:v>9.6630027781132984E-4</c:v>
                </c:pt>
                <c:pt idx="87">
                  <c:v>9.6630027781132984E-4</c:v>
                </c:pt>
                <c:pt idx="88">
                  <c:v>9.6630027781132984E-4</c:v>
                </c:pt>
                <c:pt idx="89">
                  <c:v>9.6630027781132984E-4</c:v>
                </c:pt>
                <c:pt idx="90">
                  <c:v>9.6630027781132984E-4</c:v>
                </c:pt>
                <c:pt idx="91">
                  <c:v>8.4551274308491367E-4</c:v>
                </c:pt>
                <c:pt idx="92">
                  <c:v>8.4551274308491367E-4</c:v>
                </c:pt>
                <c:pt idx="93">
                  <c:v>8.4551274308491367E-4</c:v>
                </c:pt>
                <c:pt idx="94">
                  <c:v>8.4551274308491367E-4</c:v>
                </c:pt>
                <c:pt idx="95">
                  <c:v>8.4551274308491367E-4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1A-3545-9EB4-0541006E37C0}"/>
            </c:ext>
          </c:extLst>
        </c:ser>
        <c:ser>
          <c:idx val="13"/>
          <c:order val="6"/>
          <c:tx>
            <c:strRef>
              <c:f>'Retail, Autobahn, Logistik'!$O$2</c:f>
              <c:strCache>
                <c:ptCount val="1"/>
                <c:pt idx="0">
                  <c:v>Sonntag2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Logistik'!$O$3:$O$98</c:f>
              <c:numCache>
                <c:formatCode>0.000%</c:formatCode>
                <c:ptCount val="96"/>
                <c:pt idx="0">
                  <c:v>8.4551274308491367E-4</c:v>
                </c:pt>
                <c:pt idx="1">
                  <c:v>8.4551274308491367E-4</c:v>
                </c:pt>
                <c:pt idx="2">
                  <c:v>9.6630027781132984E-4</c:v>
                </c:pt>
                <c:pt idx="3">
                  <c:v>9.6630027781132984E-4</c:v>
                </c:pt>
                <c:pt idx="4">
                  <c:v>9.6630027781132984E-4</c:v>
                </c:pt>
                <c:pt idx="5">
                  <c:v>9.6630027781132984E-4</c:v>
                </c:pt>
                <c:pt idx="6">
                  <c:v>9.6630027781132984E-4</c:v>
                </c:pt>
                <c:pt idx="7">
                  <c:v>9.6630027781132984E-4</c:v>
                </c:pt>
                <c:pt idx="8">
                  <c:v>1.0870878125377461E-3</c:v>
                </c:pt>
                <c:pt idx="9">
                  <c:v>9.6630027781132984E-4</c:v>
                </c:pt>
                <c:pt idx="10">
                  <c:v>9.6630027781132984E-4</c:v>
                </c:pt>
                <c:pt idx="11">
                  <c:v>9.6630027781132984E-4</c:v>
                </c:pt>
                <c:pt idx="12">
                  <c:v>8.4551274308491367E-4</c:v>
                </c:pt>
                <c:pt idx="13">
                  <c:v>8.4551274308491367E-4</c:v>
                </c:pt>
                <c:pt idx="14">
                  <c:v>8.4551274308491367E-4</c:v>
                </c:pt>
                <c:pt idx="15">
                  <c:v>8.4551274308491367E-4</c:v>
                </c:pt>
                <c:pt idx="16">
                  <c:v>7.247252083584974E-4</c:v>
                </c:pt>
                <c:pt idx="17">
                  <c:v>7.247252083584974E-4</c:v>
                </c:pt>
                <c:pt idx="18">
                  <c:v>7.247252083584974E-4</c:v>
                </c:pt>
                <c:pt idx="19">
                  <c:v>7.247252083584974E-4</c:v>
                </c:pt>
                <c:pt idx="20">
                  <c:v>7.247252083584974E-4</c:v>
                </c:pt>
                <c:pt idx="21">
                  <c:v>7.247252083584974E-4</c:v>
                </c:pt>
                <c:pt idx="22">
                  <c:v>7.247252083584974E-4</c:v>
                </c:pt>
                <c:pt idx="23">
                  <c:v>7.247252083584974E-4</c:v>
                </c:pt>
                <c:pt idx="24">
                  <c:v>8.4551274308491367E-4</c:v>
                </c:pt>
                <c:pt idx="25">
                  <c:v>8.4551274308491367E-4</c:v>
                </c:pt>
                <c:pt idx="26">
                  <c:v>9.6630027781132984E-4</c:v>
                </c:pt>
                <c:pt idx="27">
                  <c:v>9.6630027781132984E-4</c:v>
                </c:pt>
                <c:pt idx="28">
                  <c:v>1.0870878125377461E-3</c:v>
                </c:pt>
                <c:pt idx="29">
                  <c:v>1.0870878125377461E-3</c:v>
                </c:pt>
                <c:pt idx="30">
                  <c:v>1.0870878125377461E-3</c:v>
                </c:pt>
                <c:pt idx="31">
                  <c:v>1.0870878125377461E-3</c:v>
                </c:pt>
                <c:pt idx="32">
                  <c:v>1.3286628819905786E-3</c:v>
                </c:pt>
                <c:pt idx="33">
                  <c:v>1.3286628819905786E-3</c:v>
                </c:pt>
                <c:pt idx="34">
                  <c:v>1.3286628819905786E-3</c:v>
                </c:pt>
                <c:pt idx="35">
                  <c:v>1.3286628819905786E-3</c:v>
                </c:pt>
                <c:pt idx="36">
                  <c:v>1.570237951443411E-3</c:v>
                </c:pt>
                <c:pt idx="37">
                  <c:v>1.570237951443411E-3</c:v>
                </c:pt>
                <c:pt idx="38">
                  <c:v>1.570237951443411E-3</c:v>
                </c:pt>
                <c:pt idx="39">
                  <c:v>1.6910254861698273E-3</c:v>
                </c:pt>
                <c:pt idx="40">
                  <c:v>1.9326005556226597E-3</c:v>
                </c:pt>
                <c:pt idx="41">
                  <c:v>1.9326005556226597E-3</c:v>
                </c:pt>
                <c:pt idx="42">
                  <c:v>1.9326005556226597E-3</c:v>
                </c:pt>
                <c:pt idx="43">
                  <c:v>1.9326005556226597E-3</c:v>
                </c:pt>
                <c:pt idx="44">
                  <c:v>2.2949631598019084E-3</c:v>
                </c:pt>
                <c:pt idx="45">
                  <c:v>2.2949631598019084E-3</c:v>
                </c:pt>
                <c:pt idx="46">
                  <c:v>2.2949631598019084E-3</c:v>
                </c:pt>
                <c:pt idx="47">
                  <c:v>2.2949631598019084E-3</c:v>
                </c:pt>
                <c:pt idx="48">
                  <c:v>2.6573257639811573E-3</c:v>
                </c:pt>
                <c:pt idx="49">
                  <c:v>2.6573257639811573E-3</c:v>
                </c:pt>
                <c:pt idx="50">
                  <c:v>2.6573257639811573E-3</c:v>
                </c:pt>
                <c:pt idx="51">
                  <c:v>2.7781132987075735E-3</c:v>
                </c:pt>
                <c:pt idx="52">
                  <c:v>2.7781132987075735E-3</c:v>
                </c:pt>
                <c:pt idx="53">
                  <c:v>2.8989008334339896E-3</c:v>
                </c:pt>
                <c:pt idx="54">
                  <c:v>2.8989008334339896E-3</c:v>
                </c:pt>
                <c:pt idx="55">
                  <c:v>2.8989008334339896E-3</c:v>
                </c:pt>
                <c:pt idx="56">
                  <c:v>2.6573257639811573E-3</c:v>
                </c:pt>
                <c:pt idx="57">
                  <c:v>2.6573257639811573E-3</c:v>
                </c:pt>
                <c:pt idx="58">
                  <c:v>2.5365382292547407E-3</c:v>
                </c:pt>
                <c:pt idx="59">
                  <c:v>2.5365382292547407E-3</c:v>
                </c:pt>
                <c:pt idx="60">
                  <c:v>2.2949631598019084E-3</c:v>
                </c:pt>
                <c:pt idx="61">
                  <c:v>2.2949631598019084E-3</c:v>
                </c:pt>
                <c:pt idx="62">
                  <c:v>2.2949631598019084E-3</c:v>
                </c:pt>
                <c:pt idx="63">
                  <c:v>2.1741756250754922E-3</c:v>
                </c:pt>
                <c:pt idx="64">
                  <c:v>2.0533880903490761E-3</c:v>
                </c:pt>
                <c:pt idx="65">
                  <c:v>1.9326005556226597E-3</c:v>
                </c:pt>
                <c:pt idx="66">
                  <c:v>1.9326005556226597E-3</c:v>
                </c:pt>
                <c:pt idx="67">
                  <c:v>1.9326005556226597E-3</c:v>
                </c:pt>
                <c:pt idx="68">
                  <c:v>1.6910254861698273E-3</c:v>
                </c:pt>
                <c:pt idx="69">
                  <c:v>1.6910254861698273E-3</c:v>
                </c:pt>
                <c:pt idx="70">
                  <c:v>1.6910254861698273E-3</c:v>
                </c:pt>
                <c:pt idx="71">
                  <c:v>1.6910254861698273E-3</c:v>
                </c:pt>
                <c:pt idx="72">
                  <c:v>1.570237951443411E-3</c:v>
                </c:pt>
                <c:pt idx="73">
                  <c:v>1.4494504167169948E-3</c:v>
                </c:pt>
                <c:pt idx="74">
                  <c:v>1.4494504167169948E-3</c:v>
                </c:pt>
                <c:pt idx="75">
                  <c:v>1.4494504167169948E-3</c:v>
                </c:pt>
                <c:pt idx="76">
                  <c:v>1.3286628819905786E-3</c:v>
                </c:pt>
                <c:pt idx="77">
                  <c:v>1.2078753472641623E-3</c:v>
                </c:pt>
                <c:pt idx="78">
                  <c:v>1.2078753472641623E-3</c:v>
                </c:pt>
                <c:pt idx="79">
                  <c:v>1.2078753472641623E-3</c:v>
                </c:pt>
                <c:pt idx="80">
                  <c:v>1.0870878125377461E-3</c:v>
                </c:pt>
                <c:pt idx="81">
                  <c:v>1.0870878125377461E-3</c:v>
                </c:pt>
                <c:pt idx="82">
                  <c:v>1.0870878125377461E-3</c:v>
                </c:pt>
                <c:pt idx="83">
                  <c:v>9.6630027781132984E-4</c:v>
                </c:pt>
                <c:pt idx="84">
                  <c:v>9.6630027781132984E-4</c:v>
                </c:pt>
                <c:pt idx="85">
                  <c:v>9.6630027781132984E-4</c:v>
                </c:pt>
                <c:pt idx="86">
                  <c:v>8.4551274308491367E-4</c:v>
                </c:pt>
                <c:pt idx="87">
                  <c:v>8.4551274308491367E-4</c:v>
                </c:pt>
                <c:pt idx="88">
                  <c:v>8.4551274308491367E-4</c:v>
                </c:pt>
                <c:pt idx="89">
                  <c:v>8.4551274308491367E-4</c:v>
                </c:pt>
                <c:pt idx="90">
                  <c:v>8.4551274308491367E-4</c:v>
                </c:pt>
                <c:pt idx="91">
                  <c:v>8.4551274308491367E-4</c:v>
                </c:pt>
                <c:pt idx="92">
                  <c:v>8.4551274308491367E-4</c:v>
                </c:pt>
                <c:pt idx="93">
                  <c:v>8.4551274308491367E-4</c:v>
                </c:pt>
                <c:pt idx="94">
                  <c:v>8.4551274308491367E-4</c:v>
                </c:pt>
                <c:pt idx="95">
                  <c:v>7.247252083584974E-4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71A-3545-9EB4-0541006E3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472415"/>
        <c:axId val="348498463"/>
      </c:lineChart>
      <c:catAx>
        <c:axId val="13194724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48498463"/>
        <c:crosses val="autoZero"/>
        <c:auto val="1"/>
        <c:lblAlgn val="ctr"/>
        <c:lblOffset val="100"/>
        <c:noMultiLvlLbl val="0"/>
      </c:catAx>
      <c:valAx>
        <c:axId val="34849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947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4"/>
          <c:order val="0"/>
          <c:tx>
            <c:strRef>
              <c:f>'Retail, Autobahn, Logistik'!$P$2</c:f>
              <c:strCache>
                <c:ptCount val="1"/>
                <c:pt idx="0">
                  <c:v>Montag3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Logistik'!$P$3:$P$98</c:f>
              <c:numCache>
                <c:formatCode>0.00%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1.9690576652601969E-3</c:v>
                </c:pt>
                <c:pt idx="25">
                  <c:v>1.9690576652601969E-3</c:v>
                </c:pt>
                <c:pt idx="26">
                  <c:v>1.9690576652601969E-3</c:v>
                </c:pt>
                <c:pt idx="27">
                  <c:v>1.9690576652601969E-3</c:v>
                </c:pt>
                <c:pt idx="28">
                  <c:v>3.3755274261603376E-3</c:v>
                </c:pt>
                <c:pt idx="29">
                  <c:v>3.3755274261603376E-3</c:v>
                </c:pt>
                <c:pt idx="30">
                  <c:v>3.6568213783403658E-3</c:v>
                </c:pt>
                <c:pt idx="31">
                  <c:v>3.6568213783403658E-3</c:v>
                </c:pt>
                <c:pt idx="32">
                  <c:v>3.6568213783403658E-3</c:v>
                </c:pt>
                <c:pt idx="33">
                  <c:v>3.6568213783403658E-3</c:v>
                </c:pt>
                <c:pt idx="34">
                  <c:v>3.9381153305203939E-3</c:v>
                </c:pt>
                <c:pt idx="35">
                  <c:v>3.9381153305203939E-3</c:v>
                </c:pt>
                <c:pt idx="36">
                  <c:v>3.6568213783403658E-3</c:v>
                </c:pt>
                <c:pt idx="37">
                  <c:v>3.6568213783403658E-3</c:v>
                </c:pt>
                <c:pt idx="38">
                  <c:v>3.6568213783403658E-3</c:v>
                </c:pt>
                <c:pt idx="39">
                  <c:v>3.6568213783403658E-3</c:v>
                </c:pt>
                <c:pt idx="40">
                  <c:v>3.0942334739803095E-3</c:v>
                </c:pt>
                <c:pt idx="41">
                  <c:v>3.0942334739803095E-3</c:v>
                </c:pt>
                <c:pt idx="42">
                  <c:v>3.0942334739803095E-3</c:v>
                </c:pt>
                <c:pt idx="43">
                  <c:v>2.8129395218002813E-3</c:v>
                </c:pt>
                <c:pt idx="44">
                  <c:v>2.2503516174402251E-3</c:v>
                </c:pt>
                <c:pt idx="45">
                  <c:v>2.2503516174402251E-3</c:v>
                </c:pt>
                <c:pt idx="46">
                  <c:v>2.2503516174402251E-3</c:v>
                </c:pt>
                <c:pt idx="47">
                  <c:v>2.2503516174402251E-3</c:v>
                </c:pt>
                <c:pt idx="48">
                  <c:v>1.9690576652601969E-3</c:v>
                </c:pt>
                <c:pt idx="49">
                  <c:v>1.9690576652601969E-3</c:v>
                </c:pt>
                <c:pt idx="50">
                  <c:v>1.6877637130801688E-3</c:v>
                </c:pt>
                <c:pt idx="51">
                  <c:v>1.6877637130801688E-3</c:v>
                </c:pt>
                <c:pt idx="52">
                  <c:v>1.6877637130801688E-3</c:v>
                </c:pt>
                <c:pt idx="53">
                  <c:v>1.6877637130801688E-3</c:v>
                </c:pt>
                <c:pt idx="54">
                  <c:v>1.6877637130801688E-3</c:v>
                </c:pt>
                <c:pt idx="55">
                  <c:v>1.6877637130801688E-3</c:v>
                </c:pt>
                <c:pt idx="56">
                  <c:v>1.6877637130801688E-3</c:v>
                </c:pt>
                <c:pt idx="57">
                  <c:v>1.6877637130801688E-3</c:v>
                </c:pt>
                <c:pt idx="58">
                  <c:v>1.9690576652601969E-3</c:v>
                </c:pt>
                <c:pt idx="59">
                  <c:v>1.9690576652601969E-3</c:v>
                </c:pt>
                <c:pt idx="60">
                  <c:v>1.9690576652601969E-3</c:v>
                </c:pt>
                <c:pt idx="61">
                  <c:v>2.2503516174402251E-3</c:v>
                </c:pt>
                <c:pt idx="62">
                  <c:v>2.2503516174402251E-3</c:v>
                </c:pt>
                <c:pt idx="63">
                  <c:v>2.2503516174402251E-3</c:v>
                </c:pt>
                <c:pt idx="64">
                  <c:v>2.2503516174402251E-3</c:v>
                </c:pt>
                <c:pt idx="65">
                  <c:v>2.2503516174402251E-3</c:v>
                </c:pt>
                <c:pt idx="66">
                  <c:v>2.2503516174402251E-3</c:v>
                </c:pt>
                <c:pt idx="67">
                  <c:v>2.2503516174402251E-3</c:v>
                </c:pt>
                <c:pt idx="68">
                  <c:v>2.2503516174402251E-3</c:v>
                </c:pt>
                <c:pt idx="69">
                  <c:v>2.2503516174402251E-3</c:v>
                </c:pt>
                <c:pt idx="70">
                  <c:v>2.2503516174402251E-3</c:v>
                </c:pt>
                <c:pt idx="71">
                  <c:v>1.9690576652601969E-3</c:v>
                </c:pt>
                <c:pt idx="72">
                  <c:v>1.9690576652601969E-3</c:v>
                </c:pt>
                <c:pt idx="73">
                  <c:v>1.9690576652601969E-3</c:v>
                </c:pt>
                <c:pt idx="74">
                  <c:v>1.9690576652601969E-3</c:v>
                </c:pt>
                <c:pt idx="75">
                  <c:v>1.9690576652601969E-3</c:v>
                </c:pt>
                <c:pt idx="76">
                  <c:v>1.6877637130801688E-3</c:v>
                </c:pt>
                <c:pt idx="77">
                  <c:v>1.6877637130801688E-3</c:v>
                </c:pt>
                <c:pt idx="78">
                  <c:v>1.6877637130801688E-3</c:v>
                </c:pt>
                <c:pt idx="79">
                  <c:v>1.6877637130801688E-3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30-EA45-840F-272B49AC9337}"/>
            </c:ext>
          </c:extLst>
        </c:ser>
        <c:ser>
          <c:idx val="15"/>
          <c:order val="1"/>
          <c:tx>
            <c:strRef>
              <c:f>'Retail, Autobahn, Logistik'!$Q$2</c:f>
              <c:strCache>
                <c:ptCount val="1"/>
                <c:pt idx="0">
                  <c:v>Dienstag3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Logistik'!$Q$3:$Q$98</c:f>
              <c:numCache>
                <c:formatCode>0.00%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1.6877637130801688E-3</c:v>
                </c:pt>
                <c:pt idx="25">
                  <c:v>1.6877637130801688E-3</c:v>
                </c:pt>
                <c:pt idx="26">
                  <c:v>1.6877637130801688E-3</c:v>
                </c:pt>
                <c:pt idx="27">
                  <c:v>1.6877637130801688E-3</c:v>
                </c:pt>
                <c:pt idx="28">
                  <c:v>3.3755274261603376E-3</c:v>
                </c:pt>
                <c:pt idx="29">
                  <c:v>3.3755274261603376E-3</c:v>
                </c:pt>
                <c:pt idx="30">
                  <c:v>3.3755274261603376E-3</c:v>
                </c:pt>
                <c:pt idx="31">
                  <c:v>3.6568213783403658E-3</c:v>
                </c:pt>
                <c:pt idx="32">
                  <c:v>4.7819971870604779E-3</c:v>
                </c:pt>
                <c:pt idx="33">
                  <c:v>4.7819971870604779E-3</c:v>
                </c:pt>
                <c:pt idx="34">
                  <c:v>4.7819971870604779E-3</c:v>
                </c:pt>
                <c:pt idx="35">
                  <c:v>5.0632911392405064E-3</c:v>
                </c:pt>
                <c:pt idx="36">
                  <c:v>5.9071729957805904E-3</c:v>
                </c:pt>
                <c:pt idx="37">
                  <c:v>5.9071729957805904E-3</c:v>
                </c:pt>
                <c:pt idx="38">
                  <c:v>5.9071729957805904E-3</c:v>
                </c:pt>
                <c:pt idx="39">
                  <c:v>5.9071729957805904E-3</c:v>
                </c:pt>
                <c:pt idx="40">
                  <c:v>5.0632911392405064E-3</c:v>
                </c:pt>
                <c:pt idx="41">
                  <c:v>5.0632911392405064E-3</c:v>
                </c:pt>
                <c:pt idx="42">
                  <c:v>4.7819971870604779E-3</c:v>
                </c:pt>
                <c:pt idx="43">
                  <c:v>4.7819971870604779E-3</c:v>
                </c:pt>
                <c:pt idx="44">
                  <c:v>3.6568213783403658E-3</c:v>
                </c:pt>
                <c:pt idx="45">
                  <c:v>3.3755274261603376E-3</c:v>
                </c:pt>
                <c:pt idx="46">
                  <c:v>3.3755274261603376E-3</c:v>
                </c:pt>
                <c:pt idx="47">
                  <c:v>3.3755274261603376E-3</c:v>
                </c:pt>
                <c:pt idx="48">
                  <c:v>1.9690576652601969E-3</c:v>
                </c:pt>
                <c:pt idx="49">
                  <c:v>1.9690576652601969E-3</c:v>
                </c:pt>
                <c:pt idx="50">
                  <c:v>1.9690576652601969E-3</c:v>
                </c:pt>
                <c:pt idx="51">
                  <c:v>1.9690576652601969E-3</c:v>
                </c:pt>
                <c:pt idx="52">
                  <c:v>1.9690576652601969E-3</c:v>
                </c:pt>
                <c:pt idx="53">
                  <c:v>1.9690576652601969E-3</c:v>
                </c:pt>
                <c:pt idx="54">
                  <c:v>1.6877637130801688E-3</c:v>
                </c:pt>
                <c:pt idx="55">
                  <c:v>1.6877637130801688E-3</c:v>
                </c:pt>
                <c:pt idx="56">
                  <c:v>2.2503516174402251E-3</c:v>
                </c:pt>
                <c:pt idx="57">
                  <c:v>2.2503516174402251E-3</c:v>
                </c:pt>
                <c:pt idx="58">
                  <c:v>2.2503516174402251E-3</c:v>
                </c:pt>
                <c:pt idx="59">
                  <c:v>2.2503516174402251E-3</c:v>
                </c:pt>
                <c:pt idx="60">
                  <c:v>3.3755274261603376E-3</c:v>
                </c:pt>
                <c:pt idx="61">
                  <c:v>3.3755274261603376E-3</c:v>
                </c:pt>
                <c:pt idx="62">
                  <c:v>3.3755274261603376E-3</c:v>
                </c:pt>
                <c:pt idx="63">
                  <c:v>3.3755274261603376E-3</c:v>
                </c:pt>
                <c:pt idx="64">
                  <c:v>3.6568213783403658E-3</c:v>
                </c:pt>
                <c:pt idx="65">
                  <c:v>3.6568213783403658E-3</c:v>
                </c:pt>
                <c:pt idx="66">
                  <c:v>3.6568213783403658E-3</c:v>
                </c:pt>
                <c:pt idx="67">
                  <c:v>3.6568213783403658E-3</c:v>
                </c:pt>
                <c:pt idx="68">
                  <c:v>3.3755274261603376E-3</c:v>
                </c:pt>
                <c:pt idx="69">
                  <c:v>3.3755274261603376E-3</c:v>
                </c:pt>
                <c:pt idx="70">
                  <c:v>3.3755274261603376E-3</c:v>
                </c:pt>
                <c:pt idx="71">
                  <c:v>3.3755274261603376E-3</c:v>
                </c:pt>
                <c:pt idx="72">
                  <c:v>2.8129395218002813E-3</c:v>
                </c:pt>
                <c:pt idx="73">
                  <c:v>2.8129395218002813E-3</c:v>
                </c:pt>
                <c:pt idx="74">
                  <c:v>2.5316455696202532E-3</c:v>
                </c:pt>
                <c:pt idx="75">
                  <c:v>2.5316455696202532E-3</c:v>
                </c:pt>
                <c:pt idx="76">
                  <c:v>1.9690576652601969E-3</c:v>
                </c:pt>
                <c:pt idx="77">
                  <c:v>1.9690576652601969E-3</c:v>
                </c:pt>
                <c:pt idx="78">
                  <c:v>1.9690576652601969E-3</c:v>
                </c:pt>
                <c:pt idx="79">
                  <c:v>1.9690576652601969E-3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A30-EA45-840F-272B49AC9337}"/>
            </c:ext>
          </c:extLst>
        </c:ser>
        <c:ser>
          <c:idx val="16"/>
          <c:order val="2"/>
          <c:tx>
            <c:strRef>
              <c:f>'Retail, Autobahn, Logistik'!$R$2</c:f>
              <c:strCache>
                <c:ptCount val="1"/>
                <c:pt idx="0">
                  <c:v>Mittwoch3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Logistik'!$R$3:$R$98</c:f>
              <c:numCache>
                <c:formatCode>0.00%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2.5316455696202532E-3</c:v>
                </c:pt>
                <c:pt idx="25">
                  <c:v>2.5316455696202532E-3</c:v>
                </c:pt>
                <c:pt idx="26">
                  <c:v>2.8129395218002813E-3</c:v>
                </c:pt>
                <c:pt idx="27">
                  <c:v>2.8129395218002813E-3</c:v>
                </c:pt>
                <c:pt idx="28">
                  <c:v>4.7819971870604779E-3</c:v>
                </c:pt>
                <c:pt idx="29">
                  <c:v>4.7819971870604779E-3</c:v>
                </c:pt>
                <c:pt idx="30">
                  <c:v>4.7819971870604779E-3</c:v>
                </c:pt>
                <c:pt idx="31">
                  <c:v>5.0632911392405064E-3</c:v>
                </c:pt>
                <c:pt idx="32">
                  <c:v>5.6258790436005627E-3</c:v>
                </c:pt>
                <c:pt idx="33">
                  <c:v>5.6258790436005627E-3</c:v>
                </c:pt>
                <c:pt idx="34">
                  <c:v>5.6258790436005627E-3</c:v>
                </c:pt>
                <c:pt idx="35">
                  <c:v>5.6258790436005627E-3</c:v>
                </c:pt>
                <c:pt idx="36">
                  <c:v>5.3445850914205341E-3</c:v>
                </c:pt>
                <c:pt idx="37">
                  <c:v>5.3445850914205341E-3</c:v>
                </c:pt>
                <c:pt idx="38">
                  <c:v>5.0632911392405064E-3</c:v>
                </c:pt>
                <c:pt idx="39">
                  <c:v>5.0632911392405064E-3</c:v>
                </c:pt>
                <c:pt idx="40">
                  <c:v>3.9381153305203939E-3</c:v>
                </c:pt>
                <c:pt idx="41">
                  <c:v>3.9381153305203939E-3</c:v>
                </c:pt>
                <c:pt idx="42">
                  <c:v>3.9381153305203939E-3</c:v>
                </c:pt>
                <c:pt idx="43">
                  <c:v>3.9381153305203939E-3</c:v>
                </c:pt>
                <c:pt idx="44">
                  <c:v>3.3755274261603376E-3</c:v>
                </c:pt>
                <c:pt idx="45">
                  <c:v>3.3755274261603376E-3</c:v>
                </c:pt>
                <c:pt idx="46">
                  <c:v>3.3755274261603376E-3</c:v>
                </c:pt>
                <c:pt idx="47">
                  <c:v>3.3755274261603376E-3</c:v>
                </c:pt>
                <c:pt idx="48">
                  <c:v>2.2503516174402251E-3</c:v>
                </c:pt>
                <c:pt idx="49">
                  <c:v>1.9690576652601969E-3</c:v>
                </c:pt>
                <c:pt idx="50">
                  <c:v>1.9690576652601969E-3</c:v>
                </c:pt>
                <c:pt idx="51">
                  <c:v>1.9690576652601969E-3</c:v>
                </c:pt>
                <c:pt idx="52">
                  <c:v>1.6877637130801688E-3</c:v>
                </c:pt>
                <c:pt idx="53">
                  <c:v>1.6877637130801688E-3</c:v>
                </c:pt>
                <c:pt idx="54">
                  <c:v>1.6877637130801688E-3</c:v>
                </c:pt>
                <c:pt idx="55">
                  <c:v>1.6877637130801688E-3</c:v>
                </c:pt>
                <c:pt idx="56">
                  <c:v>1.9690576652601969E-3</c:v>
                </c:pt>
                <c:pt idx="57">
                  <c:v>1.9690576652601969E-3</c:v>
                </c:pt>
                <c:pt idx="58">
                  <c:v>1.9690576652601969E-3</c:v>
                </c:pt>
                <c:pt idx="59">
                  <c:v>1.9690576652601969E-3</c:v>
                </c:pt>
                <c:pt idx="60">
                  <c:v>2.8129395218002813E-3</c:v>
                </c:pt>
                <c:pt idx="61">
                  <c:v>2.8129395218002813E-3</c:v>
                </c:pt>
                <c:pt idx="62">
                  <c:v>3.0942334739803095E-3</c:v>
                </c:pt>
                <c:pt idx="63">
                  <c:v>3.0942334739803095E-3</c:v>
                </c:pt>
                <c:pt idx="64">
                  <c:v>3.0942334739803095E-3</c:v>
                </c:pt>
                <c:pt idx="65">
                  <c:v>3.0942334739803095E-3</c:v>
                </c:pt>
                <c:pt idx="66">
                  <c:v>3.0942334739803095E-3</c:v>
                </c:pt>
                <c:pt idx="67">
                  <c:v>3.0942334739803095E-3</c:v>
                </c:pt>
                <c:pt idx="68">
                  <c:v>2.2503516174402251E-3</c:v>
                </c:pt>
                <c:pt idx="69">
                  <c:v>2.2503516174402251E-3</c:v>
                </c:pt>
                <c:pt idx="70">
                  <c:v>2.2503516174402251E-3</c:v>
                </c:pt>
                <c:pt idx="71">
                  <c:v>2.2503516174402251E-3</c:v>
                </c:pt>
                <c:pt idx="72">
                  <c:v>2.5316455696202532E-3</c:v>
                </c:pt>
                <c:pt idx="73">
                  <c:v>2.5316455696202532E-3</c:v>
                </c:pt>
                <c:pt idx="74">
                  <c:v>2.5316455696202532E-3</c:v>
                </c:pt>
                <c:pt idx="75">
                  <c:v>2.8129395218002813E-3</c:v>
                </c:pt>
                <c:pt idx="76">
                  <c:v>2.8129395218002813E-3</c:v>
                </c:pt>
                <c:pt idx="77">
                  <c:v>2.8129395218002813E-3</c:v>
                </c:pt>
                <c:pt idx="78">
                  <c:v>2.8129395218002813E-3</c:v>
                </c:pt>
                <c:pt idx="79">
                  <c:v>2.8129395218002813E-3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A30-EA45-840F-272B49AC9337}"/>
            </c:ext>
          </c:extLst>
        </c:ser>
        <c:ser>
          <c:idx val="17"/>
          <c:order val="3"/>
          <c:tx>
            <c:strRef>
              <c:f>'Retail, Autobahn, Logistik'!$S$2</c:f>
              <c:strCache>
                <c:ptCount val="1"/>
                <c:pt idx="0">
                  <c:v>Donnerstag3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Logistik'!$S$3:$S$98</c:f>
              <c:numCache>
                <c:formatCode>0.00%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3.6568213783403658E-3</c:v>
                </c:pt>
                <c:pt idx="25">
                  <c:v>3.6568213783403658E-3</c:v>
                </c:pt>
                <c:pt idx="26">
                  <c:v>3.6568213783403658E-3</c:v>
                </c:pt>
                <c:pt idx="27">
                  <c:v>3.9381153305203939E-3</c:v>
                </c:pt>
                <c:pt idx="28">
                  <c:v>5.0632911392405064E-3</c:v>
                </c:pt>
                <c:pt idx="29">
                  <c:v>5.0632911392405064E-3</c:v>
                </c:pt>
                <c:pt idx="30">
                  <c:v>5.3445850914205341E-3</c:v>
                </c:pt>
                <c:pt idx="31">
                  <c:v>5.3445850914205341E-3</c:v>
                </c:pt>
                <c:pt idx="32">
                  <c:v>5.6258790436005627E-3</c:v>
                </c:pt>
                <c:pt idx="33">
                  <c:v>5.6258790436005627E-3</c:v>
                </c:pt>
                <c:pt idx="34">
                  <c:v>5.6258790436005627E-3</c:v>
                </c:pt>
                <c:pt idx="35">
                  <c:v>5.9071729957805904E-3</c:v>
                </c:pt>
                <c:pt idx="36">
                  <c:v>6.4697609001406467E-3</c:v>
                </c:pt>
                <c:pt idx="37">
                  <c:v>6.7510548523206752E-3</c:v>
                </c:pt>
                <c:pt idx="38">
                  <c:v>6.7510548523206752E-3</c:v>
                </c:pt>
                <c:pt idx="39">
                  <c:v>6.7510548523206752E-3</c:v>
                </c:pt>
                <c:pt idx="40">
                  <c:v>5.3445850914205341E-3</c:v>
                </c:pt>
                <c:pt idx="41">
                  <c:v>5.3445850914205341E-3</c:v>
                </c:pt>
                <c:pt idx="42">
                  <c:v>5.0632911392405064E-3</c:v>
                </c:pt>
                <c:pt idx="43">
                  <c:v>5.0632911392405064E-3</c:v>
                </c:pt>
                <c:pt idx="44">
                  <c:v>3.6568213783403658E-3</c:v>
                </c:pt>
                <c:pt idx="45">
                  <c:v>3.6568213783403658E-3</c:v>
                </c:pt>
                <c:pt idx="46">
                  <c:v>3.6568213783403658E-3</c:v>
                </c:pt>
                <c:pt idx="47">
                  <c:v>3.3755274261603376E-3</c:v>
                </c:pt>
                <c:pt idx="48">
                  <c:v>2.5316455696202532E-3</c:v>
                </c:pt>
                <c:pt idx="49">
                  <c:v>2.2503516174402251E-3</c:v>
                </c:pt>
                <c:pt idx="50">
                  <c:v>2.2503516174402251E-3</c:v>
                </c:pt>
                <c:pt idx="51">
                  <c:v>2.2503516174402251E-3</c:v>
                </c:pt>
                <c:pt idx="52">
                  <c:v>2.2503516174402251E-3</c:v>
                </c:pt>
                <c:pt idx="53">
                  <c:v>2.2503516174402251E-3</c:v>
                </c:pt>
                <c:pt idx="54">
                  <c:v>1.9690576652601969E-3</c:v>
                </c:pt>
                <c:pt idx="55">
                  <c:v>1.9690576652601969E-3</c:v>
                </c:pt>
                <c:pt idx="56">
                  <c:v>3.0942334739803095E-3</c:v>
                </c:pt>
                <c:pt idx="57">
                  <c:v>3.0942334739803095E-3</c:v>
                </c:pt>
                <c:pt idx="58">
                  <c:v>3.0942334739803095E-3</c:v>
                </c:pt>
                <c:pt idx="59">
                  <c:v>3.3755274261603376E-3</c:v>
                </c:pt>
                <c:pt idx="60">
                  <c:v>3.6568213783403658E-3</c:v>
                </c:pt>
                <c:pt idx="61">
                  <c:v>3.6568213783403658E-3</c:v>
                </c:pt>
                <c:pt idx="62">
                  <c:v>3.6568213783403658E-3</c:v>
                </c:pt>
                <c:pt idx="63">
                  <c:v>3.9381153305203939E-3</c:v>
                </c:pt>
                <c:pt idx="64">
                  <c:v>3.9381153305203939E-3</c:v>
                </c:pt>
                <c:pt idx="65">
                  <c:v>3.6568213783403658E-3</c:v>
                </c:pt>
                <c:pt idx="66">
                  <c:v>3.6568213783403658E-3</c:v>
                </c:pt>
                <c:pt idx="67">
                  <c:v>3.6568213783403658E-3</c:v>
                </c:pt>
                <c:pt idx="68">
                  <c:v>2.5316455696202532E-3</c:v>
                </c:pt>
                <c:pt idx="69">
                  <c:v>2.2503516174402251E-3</c:v>
                </c:pt>
                <c:pt idx="70">
                  <c:v>2.2503516174402251E-3</c:v>
                </c:pt>
                <c:pt idx="71">
                  <c:v>2.2503516174402251E-3</c:v>
                </c:pt>
                <c:pt idx="72">
                  <c:v>2.2503516174402251E-3</c:v>
                </c:pt>
                <c:pt idx="73">
                  <c:v>2.2503516174402251E-3</c:v>
                </c:pt>
                <c:pt idx="74">
                  <c:v>1.9690576652601969E-3</c:v>
                </c:pt>
                <c:pt idx="75">
                  <c:v>1.9690576652601969E-3</c:v>
                </c:pt>
                <c:pt idx="76">
                  <c:v>1.9690576652601969E-3</c:v>
                </c:pt>
                <c:pt idx="77">
                  <c:v>1.6877637130801688E-3</c:v>
                </c:pt>
                <c:pt idx="78">
                  <c:v>1.6877637130801688E-3</c:v>
                </c:pt>
                <c:pt idx="79">
                  <c:v>1.6877637130801688E-3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A30-EA45-840F-272B49AC9337}"/>
            </c:ext>
          </c:extLst>
        </c:ser>
        <c:ser>
          <c:idx val="18"/>
          <c:order val="4"/>
          <c:tx>
            <c:strRef>
              <c:f>'Retail, Autobahn, Logistik'!$T$2</c:f>
              <c:strCache>
                <c:ptCount val="1"/>
                <c:pt idx="0">
                  <c:v>Freitag3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Logistik'!$T$3:$T$98</c:f>
              <c:numCache>
                <c:formatCode>0.00%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2.8129395218002813E-3</c:v>
                </c:pt>
                <c:pt idx="25">
                  <c:v>2.8129395218002813E-3</c:v>
                </c:pt>
                <c:pt idx="26">
                  <c:v>2.8129395218002813E-3</c:v>
                </c:pt>
                <c:pt idx="27">
                  <c:v>3.0942334739803095E-3</c:v>
                </c:pt>
                <c:pt idx="28">
                  <c:v>4.2194092827004216E-3</c:v>
                </c:pt>
                <c:pt idx="29">
                  <c:v>4.2194092827004216E-3</c:v>
                </c:pt>
                <c:pt idx="30">
                  <c:v>4.2194092827004216E-3</c:v>
                </c:pt>
                <c:pt idx="31">
                  <c:v>4.2194092827004216E-3</c:v>
                </c:pt>
                <c:pt idx="32">
                  <c:v>4.5007032348804502E-3</c:v>
                </c:pt>
                <c:pt idx="33">
                  <c:v>4.7819971870604779E-3</c:v>
                </c:pt>
                <c:pt idx="34">
                  <c:v>4.7819971870604779E-3</c:v>
                </c:pt>
                <c:pt idx="35">
                  <c:v>4.7819971870604779E-3</c:v>
                </c:pt>
                <c:pt idx="36">
                  <c:v>4.7819971870604779E-3</c:v>
                </c:pt>
                <c:pt idx="37">
                  <c:v>5.0632911392405064E-3</c:v>
                </c:pt>
                <c:pt idx="38">
                  <c:v>5.0632911392405064E-3</c:v>
                </c:pt>
                <c:pt idx="39">
                  <c:v>5.0632911392405064E-3</c:v>
                </c:pt>
                <c:pt idx="40">
                  <c:v>4.2194092827004216E-3</c:v>
                </c:pt>
                <c:pt idx="41">
                  <c:v>3.9381153305203939E-3</c:v>
                </c:pt>
                <c:pt idx="42">
                  <c:v>3.9381153305203939E-3</c:v>
                </c:pt>
                <c:pt idx="43">
                  <c:v>3.9381153305203939E-3</c:v>
                </c:pt>
                <c:pt idx="44">
                  <c:v>2.8129395218002813E-3</c:v>
                </c:pt>
                <c:pt idx="45">
                  <c:v>2.8129395218002813E-3</c:v>
                </c:pt>
                <c:pt idx="46">
                  <c:v>2.5316455696202532E-3</c:v>
                </c:pt>
                <c:pt idx="47">
                  <c:v>2.5316455696202532E-3</c:v>
                </c:pt>
                <c:pt idx="48">
                  <c:v>1.9690576652601969E-3</c:v>
                </c:pt>
                <c:pt idx="49">
                  <c:v>1.6877637130801688E-3</c:v>
                </c:pt>
                <c:pt idx="50">
                  <c:v>1.6877637130801688E-3</c:v>
                </c:pt>
                <c:pt idx="51">
                  <c:v>1.6877637130801688E-3</c:v>
                </c:pt>
                <c:pt idx="52">
                  <c:v>1.4064697609001407E-3</c:v>
                </c:pt>
                <c:pt idx="53">
                  <c:v>1.4064697609001407E-3</c:v>
                </c:pt>
                <c:pt idx="54">
                  <c:v>1.4064697609001407E-3</c:v>
                </c:pt>
                <c:pt idx="55">
                  <c:v>1.1251758087201125E-3</c:v>
                </c:pt>
                <c:pt idx="56">
                  <c:v>1.6877637130801688E-3</c:v>
                </c:pt>
                <c:pt idx="57">
                  <c:v>1.6877637130801688E-3</c:v>
                </c:pt>
                <c:pt idx="58">
                  <c:v>1.6877637130801688E-3</c:v>
                </c:pt>
                <c:pt idx="59">
                  <c:v>2.8129395218002813E-3</c:v>
                </c:pt>
                <c:pt idx="60">
                  <c:v>2.8129395218002813E-3</c:v>
                </c:pt>
                <c:pt idx="61">
                  <c:v>3.0942334739803095E-3</c:v>
                </c:pt>
                <c:pt idx="62">
                  <c:v>3.0942334739803095E-3</c:v>
                </c:pt>
                <c:pt idx="63">
                  <c:v>3.0942334739803095E-3</c:v>
                </c:pt>
                <c:pt idx="64">
                  <c:v>3.0942334739803095E-3</c:v>
                </c:pt>
                <c:pt idx="65">
                  <c:v>3.3755274261603376E-3</c:v>
                </c:pt>
                <c:pt idx="66">
                  <c:v>3.3755274261603376E-3</c:v>
                </c:pt>
                <c:pt idx="67">
                  <c:v>3.3755274261603376E-3</c:v>
                </c:pt>
                <c:pt idx="68">
                  <c:v>2.8129395218002813E-3</c:v>
                </c:pt>
                <c:pt idx="69">
                  <c:v>2.8129395218002813E-3</c:v>
                </c:pt>
                <c:pt idx="70">
                  <c:v>2.8129395218002813E-3</c:v>
                </c:pt>
                <c:pt idx="71">
                  <c:v>2.8129395218002813E-3</c:v>
                </c:pt>
                <c:pt idx="72">
                  <c:v>2.2503516174402251E-3</c:v>
                </c:pt>
                <c:pt idx="73">
                  <c:v>2.2503516174402251E-3</c:v>
                </c:pt>
                <c:pt idx="74">
                  <c:v>2.2503516174402251E-3</c:v>
                </c:pt>
                <c:pt idx="75">
                  <c:v>2.2503516174402251E-3</c:v>
                </c:pt>
                <c:pt idx="76">
                  <c:v>1.9690576652601969E-3</c:v>
                </c:pt>
                <c:pt idx="77">
                  <c:v>1.9690576652601969E-3</c:v>
                </c:pt>
                <c:pt idx="78">
                  <c:v>1.9690576652601969E-3</c:v>
                </c:pt>
                <c:pt idx="79">
                  <c:v>1.9690576652601969E-3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A30-EA45-840F-272B49AC9337}"/>
            </c:ext>
          </c:extLst>
        </c:ser>
        <c:ser>
          <c:idx val="19"/>
          <c:order val="5"/>
          <c:tx>
            <c:strRef>
              <c:f>'Retail, Autobahn, Logistik'!$U$2</c:f>
              <c:strCache>
                <c:ptCount val="1"/>
                <c:pt idx="0">
                  <c:v>Samstag3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Logistik'!$U$3:$U$98</c:f>
              <c:numCache>
                <c:formatCode>0.00%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1.4064697609001407E-3</c:v>
                </c:pt>
                <c:pt idx="25">
                  <c:v>1.6877637130801688E-3</c:v>
                </c:pt>
                <c:pt idx="26">
                  <c:v>1.6877637130801688E-3</c:v>
                </c:pt>
                <c:pt idx="27">
                  <c:v>1.6877637130801688E-3</c:v>
                </c:pt>
                <c:pt idx="28">
                  <c:v>3.0942334739803095E-3</c:v>
                </c:pt>
                <c:pt idx="29">
                  <c:v>3.0942334739803095E-3</c:v>
                </c:pt>
                <c:pt idx="30">
                  <c:v>3.0942334739803095E-3</c:v>
                </c:pt>
                <c:pt idx="31">
                  <c:v>3.3755274261603376E-3</c:v>
                </c:pt>
                <c:pt idx="32">
                  <c:v>4.2194092827004216E-3</c:v>
                </c:pt>
                <c:pt idx="33">
                  <c:v>4.2194092827004216E-3</c:v>
                </c:pt>
                <c:pt idx="34">
                  <c:v>4.2194092827004216E-3</c:v>
                </c:pt>
                <c:pt idx="35">
                  <c:v>4.2194092827004216E-3</c:v>
                </c:pt>
                <c:pt idx="36">
                  <c:v>4.7819971870604779E-3</c:v>
                </c:pt>
                <c:pt idx="37">
                  <c:v>4.7819971870604779E-3</c:v>
                </c:pt>
                <c:pt idx="38">
                  <c:v>4.7819971870604779E-3</c:v>
                </c:pt>
                <c:pt idx="39">
                  <c:v>4.7819971870604779E-3</c:v>
                </c:pt>
                <c:pt idx="40">
                  <c:v>3.9381153305203939E-3</c:v>
                </c:pt>
                <c:pt idx="41">
                  <c:v>3.9381153305203939E-3</c:v>
                </c:pt>
                <c:pt idx="42">
                  <c:v>3.9381153305203939E-3</c:v>
                </c:pt>
                <c:pt idx="43">
                  <c:v>3.6568213783403658E-3</c:v>
                </c:pt>
                <c:pt idx="44">
                  <c:v>3.0942334739803095E-3</c:v>
                </c:pt>
                <c:pt idx="45">
                  <c:v>2.8129395218002813E-3</c:v>
                </c:pt>
                <c:pt idx="46">
                  <c:v>2.8129395218002813E-3</c:v>
                </c:pt>
                <c:pt idx="47">
                  <c:v>2.8129395218002813E-3</c:v>
                </c:pt>
                <c:pt idx="48">
                  <c:v>1.4064697609001407E-3</c:v>
                </c:pt>
                <c:pt idx="49">
                  <c:v>1.4064697609001407E-3</c:v>
                </c:pt>
                <c:pt idx="50">
                  <c:v>1.4064697609001407E-3</c:v>
                </c:pt>
                <c:pt idx="51">
                  <c:v>1.4064697609001407E-3</c:v>
                </c:pt>
                <c:pt idx="52">
                  <c:v>1.4064697609001407E-3</c:v>
                </c:pt>
                <c:pt idx="53">
                  <c:v>1.4064697609001407E-3</c:v>
                </c:pt>
                <c:pt idx="54">
                  <c:v>1.4064697609001407E-3</c:v>
                </c:pt>
                <c:pt idx="55">
                  <c:v>1.4064697609001407E-3</c:v>
                </c:pt>
                <c:pt idx="56">
                  <c:v>1.4064697609001407E-3</c:v>
                </c:pt>
                <c:pt idx="57">
                  <c:v>1.1251758087201125E-3</c:v>
                </c:pt>
                <c:pt idx="58">
                  <c:v>1.1251758087201125E-3</c:v>
                </c:pt>
                <c:pt idx="59">
                  <c:v>1.1251758087201125E-3</c:v>
                </c:pt>
                <c:pt idx="60">
                  <c:v>1.6877637130801688E-3</c:v>
                </c:pt>
                <c:pt idx="61">
                  <c:v>1.6877637130801688E-3</c:v>
                </c:pt>
                <c:pt idx="62">
                  <c:v>1.6877637130801688E-3</c:v>
                </c:pt>
                <c:pt idx="63">
                  <c:v>1.9690576652601969E-3</c:v>
                </c:pt>
                <c:pt idx="64">
                  <c:v>1.6877637130801688E-3</c:v>
                </c:pt>
                <c:pt idx="65">
                  <c:v>1.6877637130801688E-3</c:v>
                </c:pt>
                <c:pt idx="66">
                  <c:v>1.6877637130801688E-3</c:v>
                </c:pt>
                <c:pt idx="67">
                  <c:v>1.6877637130801688E-3</c:v>
                </c:pt>
                <c:pt idx="68">
                  <c:v>2.2503516174402251E-3</c:v>
                </c:pt>
                <c:pt idx="69">
                  <c:v>2.2503516174402251E-3</c:v>
                </c:pt>
                <c:pt idx="70">
                  <c:v>2.2503516174402251E-3</c:v>
                </c:pt>
                <c:pt idx="71">
                  <c:v>2.2503516174402251E-3</c:v>
                </c:pt>
                <c:pt idx="72">
                  <c:v>1.4064697609001407E-3</c:v>
                </c:pt>
                <c:pt idx="73">
                  <c:v>1.4064697609001407E-3</c:v>
                </c:pt>
                <c:pt idx="74">
                  <c:v>1.4064697609001407E-3</c:v>
                </c:pt>
                <c:pt idx="75">
                  <c:v>1.4064697609001407E-3</c:v>
                </c:pt>
                <c:pt idx="76">
                  <c:v>8.438818565400844E-4</c:v>
                </c:pt>
                <c:pt idx="77">
                  <c:v>8.438818565400844E-4</c:v>
                </c:pt>
                <c:pt idx="78">
                  <c:v>8.438818565400844E-4</c:v>
                </c:pt>
                <c:pt idx="79">
                  <c:v>8.438818565400844E-4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A30-EA45-840F-272B49AC9337}"/>
            </c:ext>
          </c:extLst>
        </c:ser>
        <c:ser>
          <c:idx val="20"/>
          <c:order val="6"/>
          <c:tx>
            <c:strRef>
              <c:f>'Retail, Autobahn, Logistik'!$V$2</c:f>
              <c:strCache>
                <c:ptCount val="1"/>
                <c:pt idx="0">
                  <c:v>Sonntag3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'Retail, Autobahn, Logistik'!$A$3:$A$98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0.14583333333333334</c:v>
                </c:pt>
                <c:pt idx="15">
                  <c:v>0.156250000000002</c:v>
                </c:pt>
                <c:pt idx="16">
                  <c:v>0.16666666666666899</c:v>
                </c:pt>
                <c:pt idx="17">
                  <c:v>0.17708333333333601</c:v>
                </c:pt>
                <c:pt idx="18">
                  <c:v>0.187500000000003</c:v>
                </c:pt>
                <c:pt idx="19">
                  <c:v>0.19791666666666999</c:v>
                </c:pt>
                <c:pt idx="20">
                  <c:v>0.20833333333333701</c:v>
                </c:pt>
                <c:pt idx="21">
                  <c:v>0.218750000000004</c:v>
                </c:pt>
                <c:pt idx="22">
                  <c:v>0.22916666666667099</c:v>
                </c:pt>
                <c:pt idx="23">
                  <c:v>0.23958333333333801</c:v>
                </c:pt>
                <c:pt idx="24">
                  <c:v>0.250000000000005</c:v>
                </c:pt>
                <c:pt idx="25">
                  <c:v>0.26041666666667201</c:v>
                </c:pt>
                <c:pt idx="26">
                  <c:v>0.27083333333333898</c:v>
                </c:pt>
                <c:pt idx="27">
                  <c:v>0.281250000000006</c:v>
                </c:pt>
                <c:pt idx="28">
                  <c:v>0.29166666666667301</c:v>
                </c:pt>
                <c:pt idx="29">
                  <c:v>0.30208333333333998</c:v>
                </c:pt>
                <c:pt idx="30">
                  <c:v>0.31250000000000699</c:v>
                </c:pt>
                <c:pt idx="31">
                  <c:v>0.32291666666667401</c:v>
                </c:pt>
                <c:pt idx="32">
                  <c:v>0.33333333333334098</c:v>
                </c:pt>
                <c:pt idx="33">
                  <c:v>0.34375000000000799</c:v>
                </c:pt>
                <c:pt idx="34">
                  <c:v>0.35416666666667501</c:v>
                </c:pt>
                <c:pt idx="35">
                  <c:v>0.36458333333334197</c:v>
                </c:pt>
                <c:pt idx="36">
                  <c:v>0.37500000000000899</c:v>
                </c:pt>
                <c:pt idx="37">
                  <c:v>0.38541666666667601</c:v>
                </c:pt>
                <c:pt idx="38">
                  <c:v>0.39583333333334297</c:v>
                </c:pt>
                <c:pt idx="39">
                  <c:v>0.40625000000000999</c:v>
                </c:pt>
                <c:pt idx="40">
                  <c:v>0.41666666666667701</c:v>
                </c:pt>
                <c:pt idx="41">
                  <c:v>0.42708333333334397</c:v>
                </c:pt>
                <c:pt idx="42">
                  <c:v>0.43750000000001099</c:v>
                </c:pt>
                <c:pt idx="43">
                  <c:v>0.44791666666667801</c:v>
                </c:pt>
                <c:pt idx="44">
                  <c:v>0.45833333333334503</c:v>
                </c:pt>
                <c:pt idx="45">
                  <c:v>0.46875000000001199</c:v>
                </c:pt>
                <c:pt idx="46">
                  <c:v>0.47916666666667901</c:v>
                </c:pt>
                <c:pt idx="47">
                  <c:v>0.48958333333334603</c:v>
                </c:pt>
                <c:pt idx="48">
                  <c:v>0.50000000000001299</c:v>
                </c:pt>
                <c:pt idx="49">
                  <c:v>0.51041666666667995</c:v>
                </c:pt>
                <c:pt idx="50">
                  <c:v>0.52083333333334703</c:v>
                </c:pt>
                <c:pt idx="51">
                  <c:v>0.53125000000001399</c:v>
                </c:pt>
                <c:pt idx="52">
                  <c:v>0.54166666666668095</c:v>
                </c:pt>
                <c:pt idx="53">
                  <c:v>0.55208333333334803</c:v>
                </c:pt>
                <c:pt idx="54">
                  <c:v>0.56250000000001499</c:v>
                </c:pt>
                <c:pt idx="55">
                  <c:v>0.57291666666668195</c:v>
                </c:pt>
                <c:pt idx="56">
                  <c:v>0.58333333333334902</c:v>
                </c:pt>
                <c:pt idx="57">
                  <c:v>0.59375000000001599</c:v>
                </c:pt>
                <c:pt idx="58">
                  <c:v>0.60416666666668295</c:v>
                </c:pt>
                <c:pt idx="59">
                  <c:v>0.61458333333335002</c:v>
                </c:pt>
                <c:pt idx="60">
                  <c:v>0.62500000000001699</c:v>
                </c:pt>
                <c:pt idx="61">
                  <c:v>0.63541666666668395</c:v>
                </c:pt>
                <c:pt idx="62">
                  <c:v>0.64583333333335102</c:v>
                </c:pt>
                <c:pt idx="63">
                  <c:v>0.65625000000001799</c:v>
                </c:pt>
                <c:pt idx="64">
                  <c:v>0.66666666666668495</c:v>
                </c:pt>
                <c:pt idx="65">
                  <c:v>0.67708333333335202</c:v>
                </c:pt>
                <c:pt idx="66">
                  <c:v>0.68750000000001898</c:v>
                </c:pt>
                <c:pt idx="67">
                  <c:v>0.69791666666668595</c:v>
                </c:pt>
                <c:pt idx="68">
                  <c:v>0.70833333333335302</c:v>
                </c:pt>
                <c:pt idx="69">
                  <c:v>0.71875000000001998</c:v>
                </c:pt>
                <c:pt idx="70">
                  <c:v>0.72916666666668695</c:v>
                </c:pt>
                <c:pt idx="71">
                  <c:v>0.73958333333335402</c:v>
                </c:pt>
                <c:pt idx="72">
                  <c:v>0.75000000000002098</c:v>
                </c:pt>
                <c:pt idx="73">
                  <c:v>0.76041666666668795</c:v>
                </c:pt>
                <c:pt idx="74">
                  <c:v>0.77083333333335502</c:v>
                </c:pt>
                <c:pt idx="75">
                  <c:v>0.78125000000002198</c:v>
                </c:pt>
                <c:pt idx="76">
                  <c:v>0.79166666666668895</c:v>
                </c:pt>
                <c:pt idx="77">
                  <c:v>0.80208333333335602</c:v>
                </c:pt>
                <c:pt idx="78">
                  <c:v>0.81250000000002298</c:v>
                </c:pt>
                <c:pt idx="79">
                  <c:v>0.82291666666669006</c:v>
                </c:pt>
                <c:pt idx="80">
                  <c:v>0.83333333333335702</c:v>
                </c:pt>
                <c:pt idx="81">
                  <c:v>0.84375000000002398</c:v>
                </c:pt>
                <c:pt idx="82">
                  <c:v>0.85416666666669105</c:v>
                </c:pt>
                <c:pt idx="83">
                  <c:v>0.86458333333335802</c:v>
                </c:pt>
                <c:pt idx="84">
                  <c:v>0.87500000000002498</c:v>
                </c:pt>
                <c:pt idx="85">
                  <c:v>0.88541666666669205</c:v>
                </c:pt>
                <c:pt idx="86">
                  <c:v>0.89583333333335902</c:v>
                </c:pt>
                <c:pt idx="87">
                  <c:v>0.90625000000002598</c:v>
                </c:pt>
                <c:pt idx="88">
                  <c:v>0.91666666666669305</c:v>
                </c:pt>
                <c:pt idx="89">
                  <c:v>0.92708333333336002</c:v>
                </c:pt>
                <c:pt idx="90">
                  <c:v>0.93750000000002698</c:v>
                </c:pt>
                <c:pt idx="91">
                  <c:v>0.94791666666669405</c:v>
                </c:pt>
                <c:pt idx="92">
                  <c:v>0.95833333333336101</c:v>
                </c:pt>
                <c:pt idx="93">
                  <c:v>0.96875000000002798</c:v>
                </c:pt>
                <c:pt idx="94">
                  <c:v>0.97916666666669505</c:v>
                </c:pt>
                <c:pt idx="95">
                  <c:v>0.98958333333336201</c:v>
                </c:pt>
              </c:numCache>
            </c:numRef>
          </c:cat>
          <c:val>
            <c:numRef>
              <c:f>'Retail, Autobahn, Logistik'!$V$3:$V$98</c:f>
              <c:numCache>
                <c:formatCode>0.00%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A30-EA45-840F-272B49AC9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963856"/>
        <c:axId val="698106448"/>
      </c:lineChart>
      <c:catAx>
        <c:axId val="697963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8106448"/>
        <c:crosses val="autoZero"/>
        <c:auto val="1"/>
        <c:lblAlgn val="ctr"/>
        <c:lblOffset val="100"/>
        <c:noMultiLvlLbl val="0"/>
      </c:catAx>
      <c:valAx>
        <c:axId val="69810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796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Büro!$H$8</c:f>
              <c:strCache>
                <c:ptCount val="1"/>
                <c:pt idx="0">
                  <c:v>Montag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Büro!$G$31:$G$81</c:f>
              <c:numCache>
                <c:formatCode>[$-F400]h:mm:ss\ AM/PM</c:formatCode>
                <c:ptCount val="51"/>
                <c:pt idx="0">
                  <c:v>0.22916666666666699</c:v>
                </c:pt>
                <c:pt idx="1">
                  <c:v>0.23958333333333301</c:v>
                </c:pt>
                <c:pt idx="2">
                  <c:v>0.25</c:v>
                </c:pt>
                <c:pt idx="3">
                  <c:v>0.26041666666666702</c:v>
                </c:pt>
                <c:pt idx="4">
                  <c:v>0.27083333333333298</c:v>
                </c:pt>
                <c:pt idx="5">
                  <c:v>0.28125</c:v>
                </c:pt>
                <c:pt idx="6">
                  <c:v>0.29166666666666702</c:v>
                </c:pt>
                <c:pt idx="7">
                  <c:v>0.30208333333333298</c:v>
                </c:pt>
                <c:pt idx="8">
                  <c:v>0.3125</c:v>
                </c:pt>
                <c:pt idx="9">
                  <c:v>0.32291666666666702</c:v>
                </c:pt>
                <c:pt idx="10">
                  <c:v>0.33333333333333298</c:v>
                </c:pt>
                <c:pt idx="11">
                  <c:v>0.34375</c:v>
                </c:pt>
                <c:pt idx="12">
                  <c:v>0.35416666666666702</c:v>
                </c:pt>
                <c:pt idx="13">
                  <c:v>0.36458333333333298</c:v>
                </c:pt>
                <c:pt idx="14">
                  <c:v>0.375</c:v>
                </c:pt>
                <c:pt idx="15">
                  <c:v>0.38541666666666702</c:v>
                </c:pt>
                <c:pt idx="16">
                  <c:v>0.39583333333333298</c:v>
                </c:pt>
                <c:pt idx="17">
                  <c:v>0.40625</c:v>
                </c:pt>
                <c:pt idx="18">
                  <c:v>0.41666666666666702</c:v>
                </c:pt>
                <c:pt idx="19">
                  <c:v>0.42708333333333298</c:v>
                </c:pt>
                <c:pt idx="20">
                  <c:v>0.4375</c:v>
                </c:pt>
                <c:pt idx="21">
                  <c:v>0.44791666666666702</c:v>
                </c:pt>
                <c:pt idx="22">
                  <c:v>0.45833333333333298</c:v>
                </c:pt>
                <c:pt idx="23">
                  <c:v>0.46875</c:v>
                </c:pt>
                <c:pt idx="24">
                  <c:v>0.47916666666666702</c:v>
                </c:pt>
                <c:pt idx="25">
                  <c:v>0.48958333333333298</c:v>
                </c:pt>
                <c:pt idx="26">
                  <c:v>0.5</c:v>
                </c:pt>
                <c:pt idx="27">
                  <c:v>0.51041666666666696</c:v>
                </c:pt>
                <c:pt idx="28">
                  <c:v>0.52083333333333304</c:v>
                </c:pt>
                <c:pt idx="29">
                  <c:v>0.53125</c:v>
                </c:pt>
                <c:pt idx="30">
                  <c:v>0.54166666666666696</c:v>
                </c:pt>
                <c:pt idx="31">
                  <c:v>0.55208333333333304</c:v>
                </c:pt>
                <c:pt idx="32">
                  <c:v>0.5625</c:v>
                </c:pt>
                <c:pt idx="33">
                  <c:v>0.57291666666666696</c:v>
                </c:pt>
                <c:pt idx="34">
                  <c:v>0.58333333333333304</c:v>
                </c:pt>
                <c:pt idx="35">
                  <c:v>0.59375</c:v>
                </c:pt>
                <c:pt idx="36">
                  <c:v>0.60416666666666696</c:v>
                </c:pt>
                <c:pt idx="37">
                  <c:v>0.61458333333333304</c:v>
                </c:pt>
                <c:pt idx="38">
                  <c:v>0.625</c:v>
                </c:pt>
                <c:pt idx="39">
                  <c:v>0.63541666666666696</c:v>
                </c:pt>
                <c:pt idx="40">
                  <c:v>0.64583333333333304</c:v>
                </c:pt>
                <c:pt idx="41">
                  <c:v>0.65625</c:v>
                </c:pt>
                <c:pt idx="42">
                  <c:v>0.66666666666666696</c:v>
                </c:pt>
                <c:pt idx="43">
                  <c:v>0.67708333333333304</c:v>
                </c:pt>
                <c:pt idx="44">
                  <c:v>0.6875</c:v>
                </c:pt>
                <c:pt idx="45">
                  <c:v>0.69791666666666696</c:v>
                </c:pt>
                <c:pt idx="46">
                  <c:v>0.70833333333333304</c:v>
                </c:pt>
                <c:pt idx="47">
                  <c:v>0.71875</c:v>
                </c:pt>
                <c:pt idx="48">
                  <c:v>0.72916666666666696</c:v>
                </c:pt>
                <c:pt idx="49">
                  <c:v>0.73958333333333304</c:v>
                </c:pt>
                <c:pt idx="50">
                  <c:v>0.75</c:v>
                </c:pt>
              </c:numCache>
            </c:numRef>
          </c:cat>
          <c:val>
            <c:numRef>
              <c:f>Büro!$H$31:$H$81</c:f>
              <c:numCache>
                <c:formatCode>0.00%</c:formatCode>
                <c:ptCount val="51"/>
                <c:pt idx="0">
                  <c:v>6.1842756137572572E-7</c:v>
                </c:pt>
                <c:pt idx="1">
                  <c:v>4.7842048833975209E-6</c:v>
                </c:pt>
                <c:pt idx="2">
                  <c:v>2.8190079725023817E-5</c:v>
                </c:pt>
                <c:pt idx="3">
                  <c:v>1.3032297848376555E-4</c:v>
                </c:pt>
                <c:pt idx="4">
                  <c:v>4.8494631097084813E-4</c:v>
                </c:pt>
                <c:pt idx="5">
                  <c:v>1.4850980187922471E-3</c:v>
                </c:pt>
                <c:pt idx="6">
                  <c:v>3.8160459252164834E-3</c:v>
                </c:pt>
                <c:pt idx="7">
                  <c:v>8.3682849807655228E-3</c:v>
                </c:pt>
                <c:pt idx="8">
                  <c:v>1.589670176684602E-2</c:v>
                </c:pt>
                <c:pt idx="9">
                  <c:v>2.6506572684354225E-2</c:v>
                </c:pt>
                <c:pt idx="10">
                  <c:v>3.9251513116453578E-2</c:v>
                </c:pt>
                <c:pt idx="11">
                  <c:v>5.2159956210976736E-2</c:v>
                </c:pt>
                <c:pt idx="12">
                  <c:v>6.2781934661387692E-2</c:v>
                </c:pt>
                <c:pt idx="13">
                  <c:v>6.9019154302392569E-2</c:v>
                </c:pt>
                <c:pt idx="14">
                  <c:v>6.982388179184093E-2</c:v>
                </c:pt>
                <c:pt idx="15">
                  <c:v>6.5448632947801455E-2</c:v>
                </c:pt>
                <c:pt idx="16">
                  <c:v>5.720012609693384E-2</c:v>
                </c:pt>
                <c:pt idx="17">
                  <c:v>4.6894576031792978E-2</c:v>
                </c:pt>
                <c:pt idx="18">
                  <c:v>3.6292873255683304E-2</c:v>
                </c:pt>
                <c:pt idx="19">
                  <c:v>2.6718272722229045E-2</c:v>
                </c:pt>
                <c:pt idx="20">
                  <c:v>1.8918856272233189E-2</c:v>
                </c:pt>
                <c:pt idx="21">
                  <c:v>1.3124169109158999E-2</c:v>
                </c:pt>
                <c:pt idx="22">
                  <c:v>9.1997422573302581E-3</c:v>
                </c:pt>
                <c:pt idx="23">
                  <c:v>6.814402408034442E-3</c:v>
                </c:pt>
                <c:pt idx="24">
                  <c:v>5.5718970554873406E-3</c:v>
                </c:pt>
                <c:pt idx="25">
                  <c:v>5.0934145983328755E-3</c:v>
                </c:pt>
                <c:pt idx="26">
                  <c:v>5.0585925661642108E-3</c:v>
                </c:pt>
                <c:pt idx="27">
                  <c:v>5.219434652431648E-3</c:v>
                </c:pt>
                <c:pt idx="28">
                  <c:v>5.3997229110809841E-3</c:v>
                </c:pt>
                <c:pt idx="29">
                  <c:v>5.4877795422059537E-3</c:v>
                </c:pt>
                <c:pt idx="30">
                  <c:v>5.4263460912960127E-3</c:v>
                </c:pt>
                <c:pt idx="31">
                  <c:v>5.2010882277297409E-3</c:v>
                </c:pt>
                <c:pt idx="32">
                  <c:v>4.8285165448807617E-3</c:v>
                </c:pt>
                <c:pt idx="33">
                  <c:v>4.3441549451732403E-3</c:v>
                </c:pt>
                <c:pt idx="34">
                  <c:v>3.7919231665906254E-3</c:v>
                </c:pt>
                <c:pt idx="35">
                  <c:v>3.2156047039203378E-3</c:v>
                </c:pt>
                <c:pt idx="36">
                  <c:v>2.6529240504181827E-3</c:v>
                </c:pt>
                <c:pt idx="37">
                  <c:v>2.1322960055322735E-3</c:v>
                </c:pt>
                <c:pt idx="38">
                  <c:v>1.6718966371066528E-3</c:v>
                </c:pt>
                <c:pt idx="39">
                  <c:v>1.2804456582929074E-3</c:v>
                </c:pt>
                <c:pt idx="40">
                  <c:v>9.5901100221533497E-4</c:v>
                </c:pt>
                <c:pt idx="41">
                  <c:v>7.0321550384446841E-4</c:v>
                </c:pt>
                <c:pt idx="42">
                  <c:v>5.053815767026063E-4</c:v>
                </c:pt>
                <c:pt idx="43">
                  <c:v>3.5633112783187479E-4</c:v>
                </c:pt>
                <c:pt idx="44">
                  <c:v>2.4671976984817046E-4</c:v>
                </c:pt>
                <c:pt idx="45">
                  <c:v>1.6790328504966967E-4</c:v>
                </c:pt>
                <c:pt idx="46">
                  <c:v>1.1240535652098977E-4</c:v>
                </c:pt>
                <c:pt idx="47">
                  <c:v>7.4085742680429789E-5</c:v>
                </c:pt>
                <c:pt idx="48">
                  <c:v>4.8109449599577785E-5</c:v>
                </c:pt>
                <c:pt idx="49">
                  <c:v>3.0802420506372664E-5</c:v>
                </c:pt>
                <c:pt idx="50">
                  <c:v>1.9457723626153641E-5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37-424C-9D0D-843EF01CCF3B}"/>
            </c:ext>
          </c:extLst>
        </c:ser>
        <c:ser>
          <c:idx val="1"/>
          <c:order val="1"/>
          <c:tx>
            <c:strRef>
              <c:f>Büro!$I$8</c:f>
              <c:strCache>
                <c:ptCount val="1"/>
                <c:pt idx="0">
                  <c:v>Dienstag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Büro!$G$31:$G$81</c:f>
              <c:numCache>
                <c:formatCode>[$-F400]h:mm:ss\ AM/PM</c:formatCode>
                <c:ptCount val="51"/>
                <c:pt idx="0">
                  <c:v>0.22916666666666699</c:v>
                </c:pt>
                <c:pt idx="1">
                  <c:v>0.23958333333333301</c:v>
                </c:pt>
                <c:pt idx="2">
                  <c:v>0.25</c:v>
                </c:pt>
                <c:pt idx="3">
                  <c:v>0.26041666666666702</c:v>
                </c:pt>
                <c:pt idx="4">
                  <c:v>0.27083333333333298</c:v>
                </c:pt>
                <c:pt idx="5">
                  <c:v>0.28125</c:v>
                </c:pt>
                <c:pt idx="6">
                  <c:v>0.29166666666666702</c:v>
                </c:pt>
                <c:pt idx="7">
                  <c:v>0.30208333333333298</c:v>
                </c:pt>
                <c:pt idx="8">
                  <c:v>0.3125</c:v>
                </c:pt>
                <c:pt idx="9">
                  <c:v>0.32291666666666702</c:v>
                </c:pt>
                <c:pt idx="10">
                  <c:v>0.33333333333333298</c:v>
                </c:pt>
                <c:pt idx="11">
                  <c:v>0.34375</c:v>
                </c:pt>
                <c:pt idx="12">
                  <c:v>0.35416666666666702</c:v>
                </c:pt>
                <c:pt idx="13">
                  <c:v>0.36458333333333298</c:v>
                </c:pt>
                <c:pt idx="14">
                  <c:v>0.375</c:v>
                </c:pt>
                <c:pt idx="15">
                  <c:v>0.38541666666666702</c:v>
                </c:pt>
                <c:pt idx="16">
                  <c:v>0.39583333333333298</c:v>
                </c:pt>
                <c:pt idx="17">
                  <c:v>0.40625</c:v>
                </c:pt>
                <c:pt idx="18">
                  <c:v>0.41666666666666702</c:v>
                </c:pt>
                <c:pt idx="19">
                  <c:v>0.42708333333333298</c:v>
                </c:pt>
                <c:pt idx="20">
                  <c:v>0.4375</c:v>
                </c:pt>
                <c:pt idx="21">
                  <c:v>0.44791666666666702</c:v>
                </c:pt>
                <c:pt idx="22">
                  <c:v>0.45833333333333298</c:v>
                </c:pt>
                <c:pt idx="23">
                  <c:v>0.46875</c:v>
                </c:pt>
                <c:pt idx="24">
                  <c:v>0.47916666666666702</c:v>
                </c:pt>
                <c:pt idx="25">
                  <c:v>0.48958333333333298</c:v>
                </c:pt>
                <c:pt idx="26">
                  <c:v>0.5</c:v>
                </c:pt>
                <c:pt idx="27">
                  <c:v>0.51041666666666696</c:v>
                </c:pt>
                <c:pt idx="28">
                  <c:v>0.52083333333333304</c:v>
                </c:pt>
                <c:pt idx="29">
                  <c:v>0.53125</c:v>
                </c:pt>
                <c:pt idx="30">
                  <c:v>0.54166666666666696</c:v>
                </c:pt>
                <c:pt idx="31">
                  <c:v>0.55208333333333304</c:v>
                </c:pt>
                <c:pt idx="32">
                  <c:v>0.5625</c:v>
                </c:pt>
                <c:pt idx="33">
                  <c:v>0.57291666666666696</c:v>
                </c:pt>
                <c:pt idx="34">
                  <c:v>0.58333333333333304</c:v>
                </c:pt>
                <c:pt idx="35">
                  <c:v>0.59375</c:v>
                </c:pt>
                <c:pt idx="36">
                  <c:v>0.60416666666666696</c:v>
                </c:pt>
                <c:pt idx="37">
                  <c:v>0.61458333333333304</c:v>
                </c:pt>
                <c:pt idx="38">
                  <c:v>0.625</c:v>
                </c:pt>
                <c:pt idx="39">
                  <c:v>0.63541666666666696</c:v>
                </c:pt>
                <c:pt idx="40">
                  <c:v>0.64583333333333304</c:v>
                </c:pt>
                <c:pt idx="41">
                  <c:v>0.65625</c:v>
                </c:pt>
                <c:pt idx="42">
                  <c:v>0.66666666666666696</c:v>
                </c:pt>
                <c:pt idx="43">
                  <c:v>0.67708333333333304</c:v>
                </c:pt>
                <c:pt idx="44">
                  <c:v>0.6875</c:v>
                </c:pt>
                <c:pt idx="45">
                  <c:v>0.69791666666666696</c:v>
                </c:pt>
                <c:pt idx="46">
                  <c:v>0.70833333333333304</c:v>
                </c:pt>
                <c:pt idx="47">
                  <c:v>0.71875</c:v>
                </c:pt>
                <c:pt idx="48">
                  <c:v>0.72916666666666696</c:v>
                </c:pt>
                <c:pt idx="49">
                  <c:v>0.73958333333333304</c:v>
                </c:pt>
                <c:pt idx="50">
                  <c:v>0.75</c:v>
                </c:pt>
              </c:numCache>
            </c:numRef>
          </c:cat>
          <c:val>
            <c:numRef>
              <c:f>Büro!$I$31:$I$81</c:f>
              <c:numCache>
                <c:formatCode>0.00%</c:formatCode>
                <c:ptCount val="51"/>
                <c:pt idx="0">
                  <c:v>7.9512115034021881E-7</c:v>
                </c:pt>
                <c:pt idx="1">
                  <c:v>6.1511205643682424E-6</c:v>
                </c:pt>
                <c:pt idx="2">
                  <c:v>3.6244388217887769E-5</c:v>
                </c:pt>
                <c:pt idx="3">
                  <c:v>1.6755811519341288E-4</c:v>
                </c:pt>
                <c:pt idx="4">
                  <c:v>6.2350239981966192E-4</c:v>
                </c:pt>
                <c:pt idx="5">
                  <c:v>1.9094117384471751E-3</c:v>
                </c:pt>
                <c:pt idx="6">
                  <c:v>4.9063447609926222E-3</c:v>
                </c:pt>
                <c:pt idx="7">
                  <c:v>1.0759223546698529E-2</c:v>
                </c:pt>
                <c:pt idx="8">
                  <c:v>2.0438616557373453E-2</c:v>
                </c:pt>
                <c:pt idx="9">
                  <c:v>3.4079879165598292E-2</c:v>
                </c:pt>
                <c:pt idx="10">
                  <c:v>5.046623114972603E-2</c:v>
                </c:pt>
                <c:pt idx="11">
                  <c:v>6.7062800842684386E-2</c:v>
                </c:pt>
                <c:pt idx="12">
                  <c:v>8.0719630278927035E-2</c:v>
                </c:pt>
                <c:pt idx="13">
                  <c:v>8.8738912674504747E-2</c:v>
                </c:pt>
                <c:pt idx="14">
                  <c:v>8.977356230379549E-2</c:v>
                </c:pt>
                <c:pt idx="15">
                  <c:v>8.4148242361459014E-2</c:v>
                </c:pt>
                <c:pt idx="16">
                  <c:v>7.3543019267486381E-2</c:v>
                </c:pt>
                <c:pt idx="17">
                  <c:v>6.0293026326590976E-2</c:v>
                </c:pt>
                <c:pt idx="18">
                  <c:v>4.6662265614449965E-2</c:v>
                </c:pt>
                <c:pt idx="19">
                  <c:v>3.43520649285802E-2</c:v>
                </c:pt>
                <c:pt idx="20">
                  <c:v>2.4324243778585528E-2</c:v>
                </c:pt>
                <c:pt idx="21">
                  <c:v>1.6873931711775859E-2</c:v>
                </c:pt>
                <c:pt idx="22">
                  <c:v>1.1828240045138903E-2</c:v>
                </c:pt>
                <c:pt idx="23">
                  <c:v>8.7613745246157126E-3</c:v>
                </c:pt>
                <c:pt idx="24">
                  <c:v>7.1638676427694383E-3</c:v>
                </c:pt>
                <c:pt idx="25">
                  <c:v>6.5486759121422692E-3</c:v>
                </c:pt>
                <c:pt idx="26">
                  <c:v>6.5039047279254148E-3</c:v>
                </c:pt>
                <c:pt idx="27">
                  <c:v>6.710701695983548E-3</c:v>
                </c:pt>
                <c:pt idx="28">
                  <c:v>6.9425008856755519E-3</c:v>
                </c:pt>
                <c:pt idx="29">
                  <c:v>7.0557165542647982E-3</c:v>
                </c:pt>
                <c:pt idx="30">
                  <c:v>6.9767306888091594E-3</c:v>
                </c:pt>
                <c:pt idx="31">
                  <c:v>6.6871134356525242E-3</c:v>
                </c:pt>
                <c:pt idx="32">
                  <c:v>6.20809270056098E-3</c:v>
                </c:pt>
                <c:pt idx="33">
                  <c:v>5.5853420723655954E-3</c:v>
                </c:pt>
                <c:pt idx="34">
                  <c:v>4.8753297856165183E-3</c:v>
                </c:pt>
                <c:pt idx="35">
                  <c:v>4.1343489050404345E-3</c:v>
                </c:pt>
                <c:pt idx="36">
                  <c:v>3.4109023505376635E-3</c:v>
                </c:pt>
                <c:pt idx="37">
                  <c:v>2.7415234356843515E-3</c:v>
                </c:pt>
                <c:pt idx="38">
                  <c:v>2.1495813905656968E-3</c:v>
                </c:pt>
                <c:pt idx="39">
                  <c:v>1.646287274948024E-3</c:v>
                </c:pt>
                <c:pt idx="40">
                  <c:v>1.2330141457054307E-3</c:v>
                </c:pt>
                <c:pt idx="41">
                  <c:v>9.041342192286023E-4</c:v>
                </c:pt>
                <c:pt idx="42">
                  <c:v>6.4977631290335104E-4</c:v>
                </c:pt>
                <c:pt idx="43">
                  <c:v>4.5814002149812473E-4</c:v>
                </c:pt>
                <c:pt idx="44">
                  <c:v>3.1721113266193349E-4</c:v>
                </c:pt>
                <c:pt idx="45">
                  <c:v>2.1587565220671816E-4</c:v>
                </c:pt>
                <c:pt idx="46">
                  <c:v>1.4452117266984399E-4</c:v>
                </c:pt>
                <c:pt idx="47">
                  <c:v>9.5253097731981177E-5</c:v>
                </c:pt>
                <c:pt idx="48">
                  <c:v>6.185500662802858E-5</c:v>
                </c:pt>
                <c:pt idx="49">
                  <c:v>3.9603112079621998E-5</c:v>
                </c:pt>
                <c:pt idx="50">
                  <c:v>2.5017073233626111E-5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37-424C-9D0D-843EF01CCF3B}"/>
            </c:ext>
          </c:extLst>
        </c:ser>
        <c:ser>
          <c:idx val="2"/>
          <c:order val="2"/>
          <c:tx>
            <c:strRef>
              <c:f>Büro!$J$8</c:f>
              <c:strCache>
                <c:ptCount val="1"/>
                <c:pt idx="0">
                  <c:v>Mittwoch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Büro!$G$31:$G$81</c:f>
              <c:numCache>
                <c:formatCode>[$-F400]h:mm:ss\ AM/PM</c:formatCode>
                <c:ptCount val="51"/>
                <c:pt idx="0">
                  <c:v>0.22916666666666699</c:v>
                </c:pt>
                <c:pt idx="1">
                  <c:v>0.23958333333333301</c:v>
                </c:pt>
                <c:pt idx="2">
                  <c:v>0.25</c:v>
                </c:pt>
                <c:pt idx="3">
                  <c:v>0.26041666666666702</c:v>
                </c:pt>
                <c:pt idx="4">
                  <c:v>0.27083333333333298</c:v>
                </c:pt>
                <c:pt idx="5">
                  <c:v>0.28125</c:v>
                </c:pt>
                <c:pt idx="6">
                  <c:v>0.29166666666666702</c:v>
                </c:pt>
                <c:pt idx="7">
                  <c:v>0.30208333333333298</c:v>
                </c:pt>
                <c:pt idx="8">
                  <c:v>0.3125</c:v>
                </c:pt>
                <c:pt idx="9">
                  <c:v>0.32291666666666702</c:v>
                </c:pt>
                <c:pt idx="10">
                  <c:v>0.33333333333333298</c:v>
                </c:pt>
                <c:pt idx="11">
                  <c:v>0.34375</c:v>
                </c:pt>
                <c:pt idx="12">
                  <c:v>0.35416666666666702</c:v>
                </c:pt>
                <c:pt idx="13">
                  <c:v>0.36458333333333298</c:v>
                </c:pt>
                <c:pt idx="14">
                  <c:v>0.375</c:v>
                </c:pt>
                <c:pt idx="15">
                  <c:v>0.38541666666666702</c:v>
                </c:pt>
                <c:pt idx="16">
                  <c:v>0.39583333333333298</c:v>
                </c:pt>
                <c:pt idx="17">
                  <c:v>0.40625</c:v>
                </c:pt>
                <c:pt idx="18">
                  <c:v>0.41666666666666702</c:v>
                </c:pt>
                <c:pt idx="19">
                  <c:v>0.42708333333333298</c:v>
                </c:pt>
                <c:pt idx="20">
                  <c:v>0.4375</c:v>
                </c:pt>
                <c:pt idx="21">
                  <c:v>0.44791666666666702</c:v>
                </c:pt>
                <c:pt idx="22">
                  <c:v>0.45833333333333298</c:v>
                </c:pt>
                <c:pt idx="23">
                  <c:v>0.46875</c:v>
                </c:pt>
                <c:pt idx="24">
                  <c:v>0.47916666666666702</c:v>
                </c:pt>
                <c:pt idx="25">
                  <c:v>0.48958333333333298</c:v>
                </c:pt>
                <c:pt idx="26">
                  <c:v>0.5</c:v>
                </c:pt>
                <c:pt idx="27">
                  <c:v>0.51041666666666696</c:v>
                </c:pt>
                <c:pt idx="28">
                  <c:v>0.52083333333333304</c:v>
                </c:pt>
                <c:pt idx="29">
                  <c:v>0.53125</c:v>
                </c:pt>
                <c:pt idx="30">
                  <c:v>0.54166666666666696</c:v>
                </c:pt>
                <c:pt idx="31">
                  <c:v>0.55208333333333304</c:v>
                </c:pt>
                <c:pt idx="32">
                  <c:v>0.5625</c:v>
                </c:pt>
                <c:pt idx="33">
                  <c:v>0.57291666666666696</c:v>
                </c:pt>
                <c:pt idx="34">
                  <c:v>0.58333333333333304</c:v>
                </c:pt>
                <c:pt idx="35">
                  <c:v>0.59375</c:v>
                </c:pt>
                <c:pt idx="36">
                  <c:v>0.60416666666666696</c:v>
                </c:pt>
                <c:pt idx="37">
                  <c:v>0.61458333333333304</c:v>
                </c:pt>
                <c:pt idx="38">
                  <c:v>0.625</c:v>
                </c:pt>
                <c:pt idx="39">
                  <c:v>0.63541666666666696</c:v>
                </c:pt>
                <c:pt idx="40">
                  <c:v>0.64583333333333304</c:v>
                </c:pt>
                <c:pt idx="41">
                  <c:v>0.65625</c:v>
                </c:pt>
                <c:pt idx="42">
                  <c:v>0.66666666666666696</c:v>
                </c:pt>
                <c:pt idx="43">
                  <c:v>0.67708333333333304</c:v>
                </c:pt>
                <c:pt idx="44">
                  <c:v>0.6875</c:v>
                </c:pt>
                <c:pt idx="45">
                  <c:v>0.69791666666666696</c:v>
                </c:pt>
                <c:pt idx="46">
                  <c:v>0.70833333333333304</c:v>
                </c:pt>
                <c:pt idx="47">
                  <c:v>0.71875</c:v>
                </c:pt>
                <c:pt idx="48">
                  <c:v>0.72916666666666696</c:v>
                </c:pt>
                <c:pt idx="49">
                  <c:v>0.73958333333333304</c:v>
                </c:pt>
                <c:pt idx="50">
                  <c:v>0.75</c:v>
                </c:pt>
              </c:numCache>
            </c:numRef>
          </c:cat>
          <c:val>
            <c:numRef>
              <c:f>Büro!$J$31:$J$81</c:f>
              <c:numCache>
                <c:formatCode>0.00%</c:formatCode>
                <c:ptCount val="51"/>
                <c:pt idx="0">
                  <c:v>8.3929454758134208E-7</c:v>
                </c:pt>
                <c:pt idx="1">
                  <c:v>6.4928494846109219E-6</c:v>
                </c:pt>
                <c:pt idx="2">
                  <c:v>3.8257965341103755E-5</c:v>
                </c:pt>
                <c:pt idx="3">
                  <c:v>1.7686689937082469E-4</c:v>
                </c:pt>
                <c:pt idx="4">
                  <c:v>6.5814142203186529E-4</c:v>
                </c:pt>
                <c:pt idx="5">
                  <c:v>2.0154901683609068E-3</c:v>
                </c:pt>
                <c:pt idx="6">
                  <c:v>5.1789194699366561E-3</c:v>
                </c:pt>
                <c:pt idx="7">
                  <c:v>1.135695818818178E-2</c:v>
                </c:pt>
                <c:pt idx="8">
                  <c:v>2.157409525500531E-2</c:v>
                </c:pt>
                <c:pt idx="9">
                  <c:v>3.5973205785909304E-2</c:v>
                </c:pt>
                <c:pt idx="10">
                  <c:v>5.3269910658044144E-2</c:v>
                </c:pt>
                <c:pt idx="11">
                  <c:v>7.0788512000611287E-2</c:v>
                </c:pt>
                <c:pt idx="12">
                  <c:v>8.5204054183311867E-2</c:v>
                </c:pt>
                <c:pt idx="13">
                  <c:v>9.3668852267532771E-2</c:v>
                </c:pt>
                <c:pt idx="14">
                  <c:v>9.476098243178413E-2</c:v>
                </c:pt>
                <c:pt idx="15">
                  <c:v>8.8823144714873403E-2</c:v>
                </c:pt>
                <c:pt idx="16">
                  <c:v>7.7628742560124503E-2</c:v>
                </c:pt>
                <c:pt idx="17">
                  <c:v>6.3642638900290469E-2</c:v>
                </c:pt>
                <c:pt idx="18">
                  <c:v>4.925461370414163E-2</c:v>
                </c:pt>
                <c:pt idx="19">
                  <c:v>3.626051298016799E-2</c:v>
                </c:pt>
                <c:pt idx="20">
                  <c:v>2.5675590655173611E-2</c:v>
                </c:pt>
                <c:pt idx="21">
                  <c:v>1.7811372362430071E-2</c:v>
                </c:pt>
                <c:pt idx="22">
                  <c:v>1.2485364492091065E-2</c:v>
                </c:pt>
                <c:pt idx="23">
                  <c:v>9.2481175537610285E-3</c:v>
                </c:pt>
                <c:pt idx="24">
                  <c:v>7.5618602895899624E-3</c:v>
                </c:pt>
                <c:pt idx="25">
                  <c:v>6.9124912405946169E-3</c:v>
                </c:pt>
                <c:pt idx="26">
                  <c:v>6.8652327683657146E-3</c:v>
                </c:pt>
                <c:pt idx="27">
                  <c:v>7.0835184568715228E-3</c:v>
                </c:pt>
                <c:pt idx="28">
                  <c:v>7.3281953793241936E-3</c:v>
                </c:pt>
                <c:pt idx="29">
                  <c:v>7.4477008072795087E-3</c:v>
                </c:pt>
                <c:pt idx="30">
                  <c:v>7.3643268381874457E-3</c:v>
                </c:pt>
                <c:pt idx="31">
                  <c:v>7.0586197376332196E-3</c:v>
                </c:pt>
                <c:pt idx="32">
                  <c:v>6.5529867394810339E-3</c:v>
                </c:pt>
                <c:pt idx="33">
                  <c:v>5.8956388541636833E-3</c:v>
                </c:pt>
                <c:pt idx="34">
                  <c:v>5.1461814403729912E-3</c:v>
                </c:pt>
                <c:pt idx="35">
                  <c:v>4.3640349553204583E-3</c:v>
                </c:pt>
                <c:pt idx="36">
                  <c:v>3.6003969255675337E-3</c:v>
                </c:pt>
                <c:pt idx="37">
                  <c:v>2.8938302932223709E-3</c:v>
                </c:pt>
                <c:pt idx="38">
                  <c:v>2.2690025789304574E-3</c:v>
                </c:pt>
                <c:pt idx="39">
                  <c:v>1.7377476791118028E-3</c:v>
                </c:pt>
                <c:pt idx="40">
                  <c:v>1.3015149315779547E-3</c:v>
                </c:pt>
                <c:pt idx="41">
                  <c:v>9.5436389807463577E-4</c:v>
                </c:pt>
                <c:pt idx="42">
                  <c:v>6.8587499695353714E-4</c:v>
                </c:pt>
                <c:pt idx="43">
                  <c:v>4.8359224491468719E-4</c:v>
                </c:pt>
                <c:pt idx="44">
                  <c:v>3.3483397336537423E-4</c:v>
                </c:pt>
                <c:pt idx="45">
                  <c:v>2.2786874399598027E-4</c:v>
                </c:pt>
                <c:pt idx="46">
                  <c:v>1.5255012670705755E-4</c:v>
                </c:pt>
                <c:pt idx="47">
                  <c:v>1.00544936494869E-4</c:v>
                </c:pt>
                <c:pt idx="48">
                  <c:v>6.5291395885141274E-5</c:v>
                </c:pt>
                <c:pt idx="49">
                  <c:v>4.1803284972934328E-5</c:v>
                </c:pt>
                <c:pt idx="50">
                  <c:v>2.6406910635494224E-5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37-424C-9D0D-843EF01CCF3B}"/>
            </c:ext>
          </c:extLst>
        </c:ser>
        <c:ser>
          <c:idx val="3"/>
          <c:order val="3"/>
          <c:tx>
            <c:strRef>
              <c:f>Büro!$K$8</c:f>
              <c:strCache>
                <c:ptCount val="1"/>
                <c:pt idx="0">
                  <c:v>Donnerstag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Büro!$G$31:$G$81</c:f>
              <c:numCache>
                <c:formatCode>[$-F400]h:mm:ss\ AM/PM</c:formatCode>
                <c:ptCount val="51"/>
                <c:pt idx="0">
                  <c:v>0.22916666666666699</c:v>
                </c:pt>
                <c:pt idx="1">
                  <c:v>0.23958333333333301</c:v>
                </c:pt>
                <c:pt idx="2">
                  <c:v>0.25</c:v>
                </c:pt>
                <c:pt idx="3">
                  <c:v>0.26041666666666702</c:v>
                </c:pt>
                <c:pt idx="4">
                  <c:v>0.27083333333333298</c:v>
                </c:pt>
                <c:pt idx="5">
                  <c:v>0.28125</c:v>
                </c:pt>
                <c:pt idx="6">
                  <c:v>0.29166666666666702</c:v>
                </c:pt>
                <c:pt idx="7">
                  <c:v>0.30208333333333298</c:v>
                </c:pt>
                <c:pt idx="8">
                  <c:v>0.3125</c:v>
                </c:pt>
                <c:pt idx="9">
                  <c:v>0.32291666666666702</c:v>
                </c:pt>
                <c:pt idx="10">
                  <c:v>0.33333333333333298</c:v>
                </c:pt>
                <c:pt idx="11">
                  <c:v>0.34375</c:v>
                </c:pt>
                <c:pt idx="12">
                  <c:v>0.35416666666666702</c:v>
                </c:pt>
                <c:pt idx="13">
                  <c:v>0.36458333333333298</c:v>
                </c:pt>
                <c:pt idx="14">
                  <c:v>0.375</c:v>
                </c:pt>
                <c:pt idx="15">
                  <c:v>0.38541666666666702</c:v>
                </c:pt>
                <c:pt idx="16">
                  <c:v>0.39583333333333298</c:v>
                </c:pt>
                <c:pt idx="17">
                  <c:v>0.40625</c:v>
                </c:pt>
                <c:pt idx="18">
                  <c:v>0.41666666666666702</c:v>
                </c:pt>
                <c:pt idx="19">
                  <c:v>0.42708333333333298</c:v>
                </c:pt>
                <c:pt idx="20">
                  <c:v>0.4375</c:v>
                </c:pt>
                <c:pt idx="21">
                  <c:v>0.44791666666666702</c:v>
                </c:pt>
                <c:pt idx="22">
                  <c:v>0.45833333333333298</c:v>
                </c:pt>
                <c:pt idx="23">
                  <c:v>0.46875</c:v>
                </c:pt>
                <c:pt idx="24">
                  <c:v>0.47916666666666702</c:v>
                </c:pt>
                <c:pt idx="25">
                  <c:v>0.48958333333333298</c:v>
                </c:pt>
                <c:pt idx="26">
                  <c:v>0.5</c:v>
                </c:pt>
                <c:pt idx="27">
                  <c:v>0.51041666666666696</c:v>
                </c:pt>
                <c:pt idx="28">
                  <c:v>0.52083333333333304</c:v>
                </c:pt>
                <c:pt idx="29">
                  <c:v>0.53125</c:v>
                </c:pt>
                <c:pt idx="30">
                  <c:v>0.54166666666666696</c:v>
                </c:pt>
                <c:pt idx="31">
                  <c:v>0.55208333333333304</c:v>
                </c:pt>
                <c:pt idx="32">
                  <c:v>0.5625</c:v>
                </c:pt>
                <c:pt idx="33">
                  <c:v>0.57291666666666696</c:v>
                </c:pt>
                <c:pt idx="34">
                  <c:v>0.58333333333333304</c:v>
                </c:pt>
                <c:pt idx="35">
                  <c:v>0.59375</c:v>
                </c:pt>
                <c:pt idx="36">
                  <c:v>0.60416666666666696</c:v>
                </c:pt>
                <c:pt idx="37">
                  <c:v>0.61458333333333304</c:v>
                </c:pt>
                <c:pt idx="38">
                  <c:v>0.625</c:v>
                </c:pt>
                <c:pt idx="39">
                  <c:v>0.63541666666666696</c:v>
                </c:pt>
                <c:pt idx="40">
                  <c:v>0.64583333333333304</c:v>
                </c:pt>
                <c:pt idx="41">
                  <c:v>0.65625</c:v>
                </c:pt>
                <c:pt idx="42">
                  <c:v>0.66666666666666696</c:v>
                </c:pt>
                <c:pt idx="43">
                  <c:v>0.67708333333333304</c:v>
                </c:pt>
                <c:pt idx="44">
                  <c:v>0.6875</c:v>
                </c:pt>
                <c:pt idx="45">
                  <c:v>0.69791666666666696</c:v>
                </c:pt>
                <c:pt idx="46">
                  <c:v>0.70833333333333304</c:v>
                </c:pt>
                <c:pt idx="47">
                  <c:v>0.71875</c:v>
                </c:pt>
                <c:pt idx="48">
                  <c:v>0.72916666666666696</c:v>
                </c:pt>
                <c:pt idx="49">
                  <c:v>0.73958333333333304</c:v>
                </c:pt>
                <c:pt idx="50">
                  <c:v>0.75</c:v>
                </c:pt>
              </c:numCache>
            </c:numRef>
          </c:cat>
          <c:val>
            <c:numRef>
              <c:f>Büro!$K$31:$K$81</c:f>
              <c:numCache>
                <c:formatCode>0.00%</c:formatCode>
                <c:ptCount val="51"/>
                <c:pt idx="0">
                  <c:v>7.9512115034021881E-7</c:v>
                </c:pt>
                <c:pt idx="1">
                  <c:v>6.1511205643682424E-6</c:v>
                </c:pt>
                <c:pt idx="2">
                  <c:v>3.6244388217887769E-5</c:v>
                </c:pt>
                <c:pt idx="3">
                  <c:v>1.6755811519341288E-4</c:v>
                </c:pt>
                <c:pt idx="4">
                  <c:v>6.2350239981966192E-4</c:v>
                </c:pt>
                <c:pt idx="5">
                  <c:v>1.9094117384471751E-3</c:v>
                </c:pt>
                <c:pt idx="6">
                  <c:v>4.9063447609926222E-3</c:v>
                </c:pt>
                <c:pt idx="7">
                  <c:v>1.0759223546698529E-2</c:v>
                </c:pt>
                <c:pt idx="8">
                  <c:v>2.0438616557373453E-2</c:v>
                </c:pt>
                <c:pt idx="9">
                  <c:v>3.4079879165598292E-2</c:v>
                </c:pt>
                <c:pt idx="10">
                  <c:v>5.046623114972603E-2</c:v>
                </c:pt>
                <c:pt idx="11">
                  <c:v>6.7062800842684386E-2</c:v>
                </c:pt>
                <c:pt idx="12">
                  <c:v>8.0719630278927035E-2</c:v>
                </c:pt>
                <c:pt idx="13">
                  <c:v>8.8738912674504747E-2</c:v>
                </c:pt>
                <c:pt idx="14">
                  <c:v>8.977356230379549E-2</c:v>
                </c:pt>
                <c:pt idx="15">
                  <c:v>8.4148242361459014E-2</c:v>
                </c:pt>
                <c:pt idx="16">
                  <c:v>7.3543019267486381E-2</c:v>
                </c:pt>
                <c:pt idx="17">
                  <c:v>6.0293026326590976E-2</c:v>
                </c:pt>
                <c:pt idx="18">
                  <c:v>4.6662265614449965E-2</c:v>
                </c:pt>
                <c:pt idx="19">
                  <c:v>3.43520649285802E-2</c:v>
                </c:pt>
                <c:pt idx="20">
                  <c:v>2.4324243778585528E-2</c:v>
                </c:pt>
                <c:pt idx="21">
                  <c:v>1.6873931711775859E-2</c:v>
                </c:pt>
                <c:pt idx="22">
                  <c:v>1.1828240045138903E-2</c:v>
                </c:pt>
                <c:pt idx="23">
                  <c:v>8.7613745246157126E-3</c:v>
                </c:pt>
                <c:pt idx="24">
                  <c:v>7.1638676427694383E-3</c:v>
                </c:pt>
                <c:pt idx="25">
                  <c:v>6.5486759121422692E-3</c:v>
                </c:pt>
                <c:pt idx="26">
                  <c:v>6.5039047279254148E-3</c:v>
                </c:pt>
                <c:pt idx="27">
                  <c:v>6.710701695983548E-3</c:v>
                </c:pt>
                <c:pt idx="28">
                  <c:v>6.9425008856755519E-3</c:v>
                </c:pt>
                <c:pt idx="29">
                  <c:v>7.0557165542647982E-3</c:v>
                </c:pt>
                <c:pt idx="30">
                  <c:v>6.9767306888091594E-3</c:v>
                </c:pt>
                <c:pt idx="31">
                  <c:v>6.6871134356525242E-3</c:v>
                </c:pt>
                <c:pt idx="32">
                  <c:v>6.20809270056098E-3</c:v>
                </c:pt>
                <c:pt idx="33">
                  <c:v>5.5853420723655954E-3</c:v>
                </c:pt>
                <c:pt idx="34">
                  <c:v>4.8753297856165183E-3</c:v>
                </c:pt>
                <c:pt idx="35">
                  <c:v>4.1343489050404345E-3</c:v>
                </c:pt>
                <c:pt idx="36">
                  <c:v>3.4109023505376635E-3</c:v>
                </c:pt>
                <c:pt idx="37">
                  <c:v>2.7415234356843515E-3</c:v>
                </c:pt>
                <c:pt idx="38">
                  <c:v>2.1495813905656968E-3</c:v>
                </c:pt>
                <c:pt idx="39">
                  <c:v>1.646287274948024E-3</c:v>
                </c:pt>
                <c:pt idx="40">
                  <c:v>1.2330141457054307E-3</c:v>
                </c:pt>
                <c:pt idx="41">
                  <c:v>9.041342192286023E-4</c:v>
                </c:pt>
                <c:pt idx="42">
                  <c:v>6.4977631290335104E-4</c:v>
                </c:pt>
                <c:pt idx="43">
                  <c:v>4.5814002149812473E-4</c:v>
                </c:pt>
                <c:pt idx="44">
                  <c:v>3.1721113266193349E-4</c:v>
                </c:pt>
                <c:pt idx="45">
                  <c:v>2.1587565220671816E-4</c:v>
                </c:pt>
                <c:pt idx="46">
                  <c:v>1.4452117266984399E-4</c:v>
                </c:pt>
                <c:pt idx="47">
                  <c:v>9.5253097731981177E-5</c:v>
                </c:pt>
                <c:pt idx="48">
                  <c:v>6.185500662802858E-5</c:v>
                </c:pt>
                <c:pt idx="49">
                  <c:v>3.9603112079621998E-5</c:v>
                </c:pt>
                <c:pt idx="50">
                  <c:v>2.5017073233626111E-5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37-424C-9D0D-843EF01CCF3B}"/>
            </c:ext>
          </c:extLst>
        </c:ser>
        <c:ser>
          <c:idx val="4"/>
          <c:order val="4"/>
          <c:tx>
            <c:strRef>
              <c:f>Büro!$L$8</c:f>
              <c:strCache>
                <c:ptCount val="1"/>
                <c:pt idx="0">
                  <c:v>Freitag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Büro!$G$31:$G$81</c:f>
              <c:numCache>
                <c:formatCode>[$-F400]h:mm:ss\ AM/PM</c:formatCode>
                <c:ptCount val="51"/>
                <c:pt idx="0">
                  <c:v>0.22916666666666699</c:v>
                </c:pt>
                <c:pt idx="1">
                  <c:v>0.23958333333333301</c:v>
                </c:pt>
                <c:pt idx="2">
                  <c:v>0.25</c:v>
                </c:pt>
                <c:pt idx="3">
                  <c:v>0.26041666666666702</c:v>
                </c:pt>
                <c:pt idx="4">
                  <c:v>0.27083333333333298</c:v>
                </c:pt>
                <c:pt idx="5">
                  <c:v>0.28125</c:v>
                </c:pt>
                <c:pt idx="6">
                  <c:v>0.29166666666666702</c:v>
                </c:pt>
                <c:pt idx="7">
                  <c:v>0.30208333333333298</c:v>
                </c:pt>
                <c:pt idx="8">
                  <c:v>0.3125</c:v>
                </c:pt>
                <c:pt idx="9">
                  <c:v>0.32291666666666702</c:v>
                </c:pt>
                <c:pt idx="10">
                  <c:v>0.33333333333333298</c:v>
                </c:pt>
                <c:pt idx="11">
                  <c:v>0.34375</c:v>
                </c:pt>
                <c:pt idx="12">
                  <c:v>0.35416666666666702</c:v>
                </c:pt>
                <c:pt idx="13">
                  <c:v>0.36458333333333298</c:v>
                </c:pt>
                <c:pt idx="14">
                  <c:v>0.375</c:v>
                </c:pt>
                <c:pt idx="15">
                  <c:v>0.38541666666666702</c:v>
                </c:pt>
                <c:pt idx="16">
                  <c:v>0.39583333333333298</c:v>
                </c:pt>
                <c:pt idx="17">
                  <c:v>0.40625</c:v>
                </c:pt>
                <c:pt idx="18">
                  <c:v>0.41666666666666702</c:v>
                </c:pt>
                <c:pt idx="19">
                  <c:v>0.42708333333333298</c:v>
                </c:pt>
                <c:pt idx="20">
                  <c:v>0.4375</c:v>
                </c:pt>
                <c:pt idx="21">
                  <c:v>0.44791666666666702</c:v>
                </c:pt>
                <c:pt idx="22">
                  <c:v>0.45833333333333298</c:v>
                </c:pt>
                <c:pt idx="23">
                  <c:v>0.46875</c:v>
                </c:pt>
                <c:pt idx="24">
                  <c:v>0.47916666666666702</c:v>
                </c:pt>
                <c:pt idx="25">
                  <c:v>0.48958333333333298</c:v>
                </c:pt>
                <c:pt idx="26">
                  <c:v>0.5</c:v>
                </c:pt>
                <c:pt idx="27">
                  <c:v>0.51041666666666696</c:v>
                </c:pt>
                <c:pt idx="28">
                  <c:v>0.52083333333333304</c:v>
                </c:pt>
                <c:pt idx="29">
                  <c:v>0.53125</c:v>
                </c:pt>
                <c:pt idx="30">
                  <c:v>0.54166666666666696</c:v>
                </c:pt>
                <c:pt idx="31">
                  <c:v>0.55208333333333304</c:v>
                </c:pt>
                <c:pt idx="32">
                  <c:v>0.5625</c:v>
                </c:pt>
                <c:pt idx="33">
                  <c:v>0.57291666666666696</c:v>
                </c:pt>
                <c:pt idx="34">
                  <c:v>0.58333333333333304</c:v>
                </c:pt>
                <c:pt idx="35">
                  <c:v>0.59375</c:v>
                </c:pt>
                <c:pt idx="36">
                  <c:v>0.60416666666666696</c:v>
                </c:pt>
                <c:pt idx="37">
                  <c:v>0.61458333333333304</c:v>
                </c:pt>
                <c:pt idx="38">
                  <c:v>0.625</c:v>
                </c:pt>
                <c:pt idx="39">
                  <c:v>0.63541666666666696</c:v>
                </c:pt>
                <c:pt idx="40">
                  <c:v>0.64583333333333304</c:v>
                </c:pt>
                <c:pt idx="41">
                  <c:v>0.65625</c:v>
                </c:pt>
                <c:pt idx="42">
                  <c:v>0.66666666666666696</c:v>
                </c:pt>
                <c:pt idx="43">
                  <c:v>0.67708333333333304</c:v>
                </c:pt>
                <c:pt idx="44">
                  <c:v>0.6875</c:v>
                </c:pt>
                <c:pt idx="45">
                  <c:v>0.69791666666666696</c:v>
                </c:pt>
                <c:pt idx="46">
                  <c:v>0.70833333333333304</c:v>
                </c:pt>
                <c:pt idx="47">
                  <c:v>0.71875</c:v>
                </c:pt>
                <c:pt idx="48">
                  <c:v>0.72916666666666696</c:v>
                </c:pt>
                <c:pt idx="49">
                  <c:v>0.73958333333333304</c:v>
                </c:pt>
                <c:pt idx="50">
                  <c:v>0.75</c:v>
                </c:pt>
              </c:numCache>
            </c:numRef>
          </c:cat>
          <c:val>
            <c:numRef>
              <c:f>Büro!$L$31:$L$81</c:f>
              <c:numCache>
                <c:formatCode>0.00%</c:formatCode>
                <c:ptCount val="51"/>
                <c:pt idx="0">
                  <c:v>5.3008076689347917E-7</c:v>
                </c:pt>
                <c:pt idx="1">
                  <c:v>4.100747042912161E-6</c:v>
                </c:pt>
                <c:pt idx="2">
                  <c:v>2.4162925478591844E-5</c:v>
                </c:pt>
                <c:pt idx="3">
                  <c:v>1.117054101289419E-4</c:v>
                </c:pt>
                <c:pt idx="4">
                  <c:v>4.1566826654644123E-4</c:v>
                </c:pt>
                <c:pt idx="5">
                  <c:v>1.2729411589647833E-3</c:v>
                </c:pt>
                <c:pt idx="6">
                  <c:v>3.2708965073284147E-3</c:v>
                </c:pt>
                <c:pt idx="7">
                  <c:v>7.172815697799019E-3</c:v>
                </c:pt>
                <c:pt idx="8">
                  <c:v>1.3625744371582302E-2</c:v>
                </c:pt>
                <c:pt idx="9">
                  <c:v>2.2719919443732191E-2</c:v>
                </c:pt>
                <c:pt idx="10">
                  <c:v>3.3644154099817351E-2</c:v>
                </c:pt>
                <c:pt idx="11">
                  <c:v>4.4708533895122922E-2</c:v>
                </c:pt>
                <c:pt idx="12">
                  <c:v>5.3813086852618021E-2</c:v>
                </c:pt>
                <c:pt idx="13">
                  <c:v>5.9159275116336493E-2</c:v>
                </c:pt>
                <c:pt idx="14">
                  <c:v>5.9849041535863658E-2</c:v>
                </c:pt>
                <c:pt idx="15">
                  <c:v>5.6098828240972676E-2</c:v>
                </c:pt>
                <c:pt idx="16">
                  <c:v>4.9028679511657583E-2</c:v>
                </c:pt>
                <c:pt idx="17">
                  <c:v>4.0195350884393986E-2</c:v>
                </c:pt>
                <c:pt idx="18">
                  <c:v>3.1108177076299974E-2</c:v>
                </c:pt>
                <c:pt idx="19">
                  <c:v>2.2901376619053466E-2</c:v>
                </c:pt>
                <c:pt idx="20">
                  <c:v>1.6216162519057019E-2</c:v>
                </c:pt>
                <c:pt idx="21">
                  <c:v>1.1249287807850571E-2</c:v>
                </c:pt>
                <c:pt idx="22">
                  <c:v>7.8854933634259355E-3</c:v>
                </c:pt>
                <c:pt idx="23">
                  <c:v>5.8409163497438075E-3</c:v>
                </c:pt>
                <c:pt idx="24">
                  <c:v>4.7759117618462925E-3</c:v>
                </c:pt>
                <c:pt idx="25">
                  <c:v>4.3657839414281792E-3</c:v>
                </c:pt>
                <c:pt idx="26">
                  <c:v>4.3359364852836096E-3</c:v>
                </c:pt>
                <c:pt idx="27">
                  <c:v>4.4738011306556984E-3</c:v>
                </c:pt>
                <c:pt idx="28">
                  <c:v>4.6283339237837007E-3</c:v>
                </c:pt>
                <c:pt idx="29">
                  <c:v>4.7038110361765318E-3</c:v>
                </c:pt>
                <c:pt idx="30">
                  <c:v>4.6511537925394393E-3</c:v>
                </c:pt>
                <c:pt idx="31">
                  <c:v>4.4580756237683492E-3</c:v>
                </c:pt>
                <c:pt idx="32">
                  <c:v>4.1387284670406531E-3</c:v>
                </c:pt>
                <c:pt idx="33">
                  <c:v>3.7235613815770631E-3</c:v>
                </c:pt>
                <c:pt idx="34">
                  <c:v>3.2502198570776787E-3</c:v>
                </c:pt>
                <c:pt idx="35">
                  <c:v>2.7562326033602896E-3</c:v>
                </c:pt>
                <c:pt idx="36">
                  <c:v>2.2739349003584423E-3</c:v>
                </c:pt>
                <c:pt idx="37">
                  <c:v>1.8276822904562343E-3</c:v>
                </c:pt>
                <c:pt idx="38">
                  <c:v>1.4330542603771311E-3</c:v>
                </c:pt>
                <c:pt idx="39">
                  <c:v>1.0975248499653493E-3</c:v>
                </c:pt>
                <c:pt idx="40">
                  <c:v>8.2200943047028719E-4</c:v>
                </c:pt>
                <c:pt idx="41">
                  <c:v>6.0275614615240157E-4</c:v>
                </c:pt>
                <c:pt idx="42">
                  <c:v>4.3318420860223399E-4</c:v>
                </c:pt>
                <c:pt idx="43">
                  <c:v>3.0542668099874982E-4</c:v>
                </c:pt>
                <c:pt idx="44">
                  <c:v>2.1147408844128898E-4</c:v>
                </c:pt>
                <c:pt idx="45">
                  <c:v>1.4391710147114545E-4</c:v>
                </c:pt>
                <c:pt idx="46">
                  <c:v>9.6347448446562658E-5</c:v>
                </c:pt>
                <c:pt idx="47">
                  <c:v>6.3502065154654109E-5</c:v>
                </c:pt>
                <c:pt idx="48">
                  <c:v>4.1236671085352385E-5</c:v>
                </c:pt>
                <c:pt idx="49">
                  <c:v>2.6402074719748E-5</c:v>
                </c:pt>
                <c:pt idx="50">
                  <c:v>1.6678048822417407E-5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37-424C-9D0D-843EF01CCF3B}"/>
            </c:ext>
          </c:extLst>
        </c:ser>
        <c:ser>
          <c:idx val="5"/>
          <c:order val="5"/>
          <c:tx>
            <c:strRef>
              <c:f>Büro!$M$8</c:f>
              <c:strCache>
                <c:ptCount val="1"/>
                <c:pt idx="0">
                  <c:v>Samstag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Büro!$G$31:$G$81</c:f>
              <c:numCache>
                <c:formatCode>[$-F400]h:mm:ss\ AM/PM</c:formatCode>
                <c:ptCount val="51"/>
                <c:pt idx="0">
                  <c:v>0.22916666666666699</c:v>
                </c:pt>
                <c:pt idx="1">
                  <c:v>0.23958333333333301</c:v>
                </c:pt>
                <c:pt idx="2">
                  <c:v>0.25</c:v>
                </c:pt>
                <c:pt idx="3">
                  <c:v>0.26041666666666702</c:v>
                </c:pt>
                <c:pt idx="4">
                  <c:v>0.27083333333333298</c:v>
                </c:pt>
                <c:pt idx="5">
                  <c:v>0.28125</c:v>
                </c:pt>
                <c:pt idx="6">
                  <c:v>0.29166666666666702</c:v>
                </c:pt>
                <c:pt idx="7">
                  <c:v>0.30208333333333298</c:v>
                </c:pt>
                <c:pt idx="8">
                  <c:v>0.3125</c:v>
                </c:pt>
                <c:pt idx="9">
                  <c:v>0.32291666666666702</c:v>
                </c:pt>
                <c:pt idx="10">
                  <c:v>0.33333333333333298</c:v>
                </c:pt>
                <c:pt idx="11">
                  <c:v>0.34375</c:v>
                </c:pt>
                <c:pt idx="12">
                  <c:v>0.35416666666666702</c:v>
                </c:pt>
                <c:pt idx="13">
                  <c:v>0.36458333333333298</c:v>
                </c:pt>
                <c:pt idx="14">
                  <c:v>0.375</c:v>
                </c:pt>
                <c:pt idx="15">
                  <c:v>0.38541666666666702</c:v>
                </c:pt>
                <c:pt idx="16">
                  <c:v>0.39583333333333298</c:v>
                </c:pt>
                <c:pt idx="17">
                  <c:v>0.40625</c:v>
                </c:pt>
                <c:pt idx="18">
                  <c:v>0.41666666666666702</c:v>
                </c:pt>
                <c:pt idx="19">
                  <c:v>0.42708333333333298</c:v>
                </c:pt>
                <c:pt idx="20">
                  <c:v>0.4375</c:v>
                </c:pt>
                <c:pt idx="21">
                  <c:v>0.44791666666666702</c:v>
                </c:pt>
                <c:pt idx="22">
                  <c:v>0.45833333333333298</c:v>
                </c:pt>
                <c:pt idx="23">
                  <c:v>0.46875</c:v>
                </c:pt>
                <c:pt idx="24">
                  <c:v>0.47916666666666702</c:v>
                </c:pt>
                <c:pt idx="25">
                  <c:v>0.48958333333333298</c:v>
                </c:pt>
                <c:pt idx="26">
                  <c:v>0.5</c:v>
                </c:pt>
                <c:pt idx="27">
                  <c:v>0.51041666666666696</c:v>
                </c:pt>
                <c:pt idx="28">
                  <c:v>0.52083333333333304</c:v>
                </c:pt>
                <c:pt idx="29">
                  <c:v>0.53125</c:v>
                </c:pt>
                <c:pt idx="30">
                  <c:v>0.54166666666666696</c:v>
                </c:pt>
                <c:pt idx="31">
                  <c:v>0.55208333333333304</c:v>
                </c:pt>
                <c:pt idx="32">
                  <c:v>0.5625</c:v>
                </c:pt>
                <c:pt idx="33">
                  <c:v>0.57291666666666696</c:v>
                </c:pt>
                <c:pt idx="34">
                  <c:v>0.58333333333333304</c:v>
                </c:pt>
                <c:pt idx="35">
                  <c:v>0.59375</c:v>
                </c:pt>
                <c:pt idx="36">
                  <c:v>0.60416666666666696</c:v>
                </c:pt>
                <c:pt idx="37">
                  <c:v>0.61458333333333304</c:v>
                </c:pt>
                <c:pt idx="38">
                  <c:v>0.625</c:v>
                </c:pt>
                <c:pt idx="39">
                  <c:v>0.63541666666666696</c:v>
                </c:pt>
                <c:pt idx="40">
                  <c:v>0.64583333333333304</c:v>
                </c:pt>
                <c:pt idx="41">
                  <c:v>0.65625</c:v>
                </c:pt>
                <c:pt idx="42">
                  <c:v>0.66666666666666696</c:v>
                </c:pt>
                <c:pt idx="43">
                  <c:v>0.67708333333333304</c:v>
                </c:pt>
                <c:pt idx="44">
                  <c:v>0.6875</c:v>
                </c:pt>
                <c:pt idx="45">
                  <c:v>0.69791666666666696</c:v>
                </c:pt>
                <c:pt idx="46">
                  <c:v>0.70833333333333304</c:v>
                </c:pt>
                <c:pt idx="47">
                  <c:v>0.71875</c:v>
                </c:pt>
                <c:pt idx="48">
                  <c:v>0.72916666666666696</c:v>
                </c:pt>
                <c:pt idx="49">
                  <c:v>0.73958333333333304</c:v>
                </c:pt>
                <c:pt idx="50">
                  <c:v>0.75</c:v>
                </c:pt>
              </c:numCache>
            </c:numRef>
          </c:cat>
          <c:val>
            <c:numRef>
              <c:f>Büro!$M$31:$M$81</c:f>
              <c:numCache>
                <c:formatCode>0.00%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37-424C-9D0D-843EF01CCF3B}"/>
            </c:ext>
          </c:extLst>
        </c:ser>
        <c:ser>
          <c:idx val="6"/>
          <c:order val="6"/>
          <c:tx>
            <c:strRef>
              <c:f>Büro!$N$8</c:f>
              <c:strCache>
                <c:ptCount val="1"/>
                <c:pt idx="0">
                  <c:v>Sonntag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Büro!$G$31:$G$81</c:f>
              <c:numCache>
                <c:formatCode>[$-F400]h:mm:ss\ AM/PM</c:formatCode>
                <c:ptCount val="51"/>
                <c:pt idx="0">
                  <c:v>0.22916666666666699</c:v>
                </c:pt>
                <c:pt idx="1">
                  <c:v>0.23958333333333301</c:v>
                </c:pt>
                <c:pt idx="2">
                  <c:v>0.25</c:v>
                </c:pt>
                <c:pt idx="3">
                  <c:v>0.26041666666666702</c:v>
                </c:pt>
                <c:pt idx="4">
                  <c:v>0.27083333333333298</c:v>
                </c:pt>
                <c:pt idx="5">
                  <c:v>0.28125</c:v>
                </c:pt>
                <c:pt idx="6">
                  <c:v>0.29166666666666702</c:v>
                </c:pt>
                <c:pt idx="7">
                  <c:v>0.30208333333333298</c:v>
                </c:pt>
                <c:pt idx="8">
                  <c:v>0.3125</c:v>
                </c:pt>
                <c:pt idx="9">
                  <c:v>0.32291666666666702</c:v>
                </c:pt>
                <c:pt idx="10">
                  <c:v>0.33333333333333298</c:v>
                </c:pt>
                <c:pt idx="11">
                  <c:v>0.34375</c:v>
                </c:pt>
                <c:pt idx="12">
                  <c:v>0.35416666666666702</c:v>
                </c:pt>
                <c:pt idx="13">
                  <c:v>0.36458333333333298</c:v>
                </c:pt>
                <c:pt idx="14">
                  <c:v>0.375</c:v>
                </c:pt>
                <c:pt idx="15">
                  <c:v>0.38541666666666702</c:v>
                </c:pt>
                <c:pt idx="16">
                  <c:v>0.39583333333333298</c:v>
                </c:pt>
                <c:pt idx="17">
                  <c:v>0.40625</c:v>
                </c:pt>
                <c:pt idx="18">
                  <c:v>0.41666666666666702</c:v>
                </c:pt>
                <c:pt idx="19">
                  <c:v>0.42708333333333298</c:v>
                </c:pt>
                <c:pt idx="20">
                  <c:v>0.4375</c:v>
                </c:pt>
                <c:pt idx="21">
                  <c:v>0.44791666666666702</c:v>
                </c:pt>
                <c:pt idx="22">
                  <c:v>0.45833333333333298</c:v>
                </c:pt>
                <c:pt idx="23">
                  <c:v>0.46875</c:v>
                </c:pt>
                <c:pt idx="24">
                  <c:v>0.47916666666666702</c:v>
                </c:pt>
                <c:pt idx="25">
                  <c:v>0.48958333333333298</c:v>
                </c:pt>
                <c:pt idx="26">
                  <c:v>0.5</c:v>
                </c:pt>
                <c:pt idx="27">
                  <c:v>0.51041666666666696</c:v>
                </c:pt>
                <c:pt idx="28">
                  <c:v>0.52083333333333304</c:v>
                </c:pt>
                <c:pt idx="29">
                  <c:v>0.53125</c:v>
                </c:pt>
                <c:pt idx="30">
                  <c:v>0.54166666666666696</c:v>
                </c:pt>
                <c:pt idx="31">
                  <c:v>0.55208333333333304</c:v>
                </c:pt>
                <c:pt idx="32">
                  <c:v>0.5625</c:v>
                </c:pt>
                <c:pt idx="33">
                  <c:v>0.57291666666666696</c:v>
                </c:pt>
                <c:pt idx="34">
                  <c:v>0.58333333333333304</c:v>
                </c:pt>
                <c:pt idx="35">
                  <c:v>0.59375</c:v>
                </c:pt>
                <c:pt idx="36">
                  <c:v>0.60416666666666696</c:v>
                </c:pt>
                <c:pt idx="37">
                  <c:v>0.61458333333333304</c:v>
                </c:pt>
                <c:pt idx="38">
                  <c:v>0.625</c:v>
                </c:pt>
                <c:pt idx="39">
                  <c:v>0.63541666666666696</c:v>
                </c:pt>
                <c:pt idx="40">
                  <c:v>0.64583333333333304</c:v>
                </c:pt>
                <c:pt idx="41">
                  <c:v>0.65625</c:v>
                </c:pt>
                <c:pt idx="42">
                  <c:v>0.66666666666666696</c:v>
                </c:pt>
                <c:pt idx="43">
                  <c:v>0.67708333333333304</c:v>
                </c:pt>
                <c:pt idx="44">
                  <c:v>0.6875</c:v>
                </c:pt>
                <c:pt idx="45">
                  <c:v>0.69791666666666696</c:v>
                </c:pt>
                <c:pt idx="46">
                  <c:v>0.70833333333333304</c:v>
                </c:pt>
                <c:pt idx="47">
                  <c:v>0.71875</c:v>
                </c:pt>
                <c:pt idx="48">
                  <c:v>0.72916666666666696</c:v>
                </c:pt>
                <c:pt idx="49">
                  <c:v>0.73958333333333304</c:v>
                </c:pt>
                <c:pt idx="50">
                  <c:v>0.75</c:v>
                </c:pt>
              </c:numCache>
            </c:numRef>
          </c:cat>
          <c:val>
            <c:numRef>
              <c:f>Büro!$N$31:$N$81</c:f>
              <c:numCache>
                <c:formatCode>0.00%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37-424C-9D0D-843EF01CC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286703"/>
        <c:axId val="995288415"/>
      </c:lineChart>
      <c:catAx>
        <c:axId val="995286703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95288415"/>
        <c:crosses val="autoZero"/>
        <c:auto val="1"/>
        <c:lblAlgn val="ctr"/>
        <c:lblOffset val="100"/>
        <c:noMultiLvlLbl val="0"/>
      </c:catAx>
      <c:valAx>
        <c:axId val="99528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9528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'Industrie-2'!$H$8</c:f>
              <c:strCache>
                <c:ptCount val="1"/>
                <c:pt idx="0">
                  <c:v>Montag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'Industrie-2'!$G$25:$G$81</c:f>
              <c:numCache>
                <c:formatCode>[$-F400]h:mm:ss\ AM/PM</c:formatCode>
                <c:ptCount val="57"/>
                <c:pt idx="0">
                  <c:v>0.16666666666666699</c:v>
                </c:pt>
                <c:pt idx="1">
                  <c:v>0.17708333333333301</c:v>
                </c:pt>
                <c:pt idx="2">
                  <c:v>0.1875</c:v>
                </c:pt>
                <c:pt idx="3">
                  <c:v>0.19791666666666699</c:v>
                </c:pt>
                <c:pt idx="4">
                  <c:v>0.20833333333333301</c:v>
                </c:pt>
                <c:pt idx="5">
                  <c:v>0.21875</c:v>
                </c:pt>
                <c:pt idx="6">
                  <c:v>0.22916666666666699</c:v>
                </c:pt>
                <c:pt idx="7">
                  <c:v>0.23958333333333301</c:v>
                </c:pt>
                <c:pt idx="8">
                  <c:v>0.25</c:v>
                </c:pt>
                <c:pt idx="9">
                  <c:v>0.26041666666666702</c:v>
                </c:pt>
                <c:pt idx="10">
                  <c:v>0.27083333333333298</c:v>
                </c:pt>
                <c:pt idx="11">
                  <c:v>0.28125</c:v>
                </c:pt>
                <c:pt idx="12">
                  <c:v>0.29166666666666702</c:v>
                </c:pt>
                <c:pt idx="13">
                  <c:v>0.30208333333333298</c:v>
                </c:pt>
                <c:pt idx="14">
                  <c:v>0.3125</c:v>
                </c:pt>
                <c:pt idx="15">
                  <c:v>0.32291666666666702</c:v>
                </c:pt>
                <c:pt idx="16">
                  <c:v>0.33333333333333298</c:v>
                </c:pt>
                <c:pt idx="17">
                  <c:v>0.34375</c:v>
                </c:pt>
                <c:pt idx="18">
                  <c:v>0.35416666666666702</c:v>
                </c:pt>
                <c:pt idx="19">
                  <c:v>0.36458333333333298</c:v>
                </c:pt>
                <c:pt idx="20">
                  <c:v>0.375</c:v>
                </c:pt>
                <c:pt idx="21">
                  <c:v>0.38541666666666702</c:v>
                </c:pt>
                <c:pt idx="22">
                  <c:v>0.39583333333333298</c:v>
                </c:pt>
                <c:pt idx="23">
                  <c:v>0.40625</c:v>
                </c:pt>
                <c:pt idx="24">
                  <c:v>0.41666666666666702</c:v>
                </c:pt>
                <c:pt idx="25">
                  <c:v>0.42708333333333298</c:v>
                </c:pt>
                <c:pt idx="26">
                  <c:v>0.4375</c:v>
                </c:pt>
                <c:pt idx="27">
                  <c:v>0.44791666666666702</c:v>
                </c:pt>
                <c:pt idx="28">
                  <c:v>0.45833333333333298</c:v>
                </c:pt>
                <c:pt idx="29">
                  <c:v>0.46875</c:v>
                </c:pt>
                <c:pt idx="30">
                  <c:v>0.47916666666666702</c:v>
                </c:pt>
                <c:pt idx="31">
                  <c:v>0.48958333333333298</c:v>
                </c:pt>
                <c:pt idx="32">
                  <c:v>0.5</c:v>
                </c:pt>
                <c:pt idx="33">
                  <c:v>0.51041666666666696</c:v>
                </c:pt>
                <c:pt idx="34">
                  <c:v>0.52083333333333304</c:v>
                </c:pt>
                <c:pt idx="35">
                  <c:v>0.53125</c:v>
                </c:pt>
                <c:pt idx="36">
                  <c:v>0.54166666666666696</c:v>
                </c:pt>
                <c:pt idx="37">
                  <c:v>0.55208333333333304</c:v>
                </c:pt>
                <c:pt idx="38">
                  <c:v>0.5625</c:v>
                </c:pt>
                <c:pt idx="39">
                  <c:v>0.57291666666666696</c:v>
                </c:pt>
                <c:pt idx="40">
                  <c:v>0.58333333333333304</c:v>
                </c:pt>
                <c:pt idx="41">
                  <c:v>0.59375</c:v>
                </c:pt>
                <c:pt idx="42">
                  <c:v>0.60416666666666696</c:v>
                </c:pt>
                <c:pt idx="43">
                  <c:v>0.61458333333333304</c:v>
                </c:pt>
                <c:pt idx="44">
                  <c:v>0.625</c:v>
                </c:pt>
                <c:pt idx="45">
                  <c:v>0.63541666666666696</c:v>
                </c:pt>
                <c:pt idx="46">
                  <c:v>0.64583333333333304</c:v>
                </c:pt>
                <c:pt idx="47">
                  <c:v>0.65625</c:v>
                </c:pt>
                <c:pt idx="48">
                  <c:v>0.66666666666666696</c:v>
                </c:pt>
                <c:pt idx="49">
                  <c:v>0.67708333333333304</c:v>
                </c:pt>
                <c:pt idx="50">
                  <c:v>0.6875</c:v>
                </c:pt>
                <c:pt idx="51">
                  <c:v>0.69791666666666696</c:v>
                </c:pt>
                <c:pt idx="52">
                  <c:v>0.70833333333333304</c:v>
                </c:pt>
                <c:pt idx="53">
                  <c:v>0.71875</c:v>
                </c:pt>
                <c:pt idx="54">
                  <c:v>0.72916666666666696</c:v>
                </c:pt>
                <c:pt idx="55">
                  <c:v>0.73958333333333304</c:v>
                </c:pt>
                <c:pt idx="56">
                  <c:v>0.75</c:v>
                </c:pt>
              </c:numCache>
            </c:numRef>
          </c:cat>
          <c:val>
            <c:numRef>
              <c:f>'Industrie-2'!$H$25:$H$81</c:f>
              <c:numCache>
                <c:formatCode>0.00%</c:formatCode>
                <c:ptCount val="57"/>
                <c:pt idx="0">
                  <c:v>3.1881637780984074E-5</c:v>
                </c:pt>
                <c:pt idx="1">
                  <c:v>2.9170856810754539E-4</c:v>
                </c:pt>
                <c:pt idx="2">
                  <c:v>1.6795751347009947E-3</c:v>
                </c:pt>
                <c:pt idx="3">
                  <c:v>6.5125263297667333E-3</c:v>
                </c:pt>
                <c:pt idx="4">
                  <c:v>1.7978409876649174E-2</c:v>
                </c:pt>
                <c:pt idx="5">
                  <c:v>3.699960678992284E-2</c:v>
                </c:pt>
                <c:pt idx="6">
                  <c:v>5.8990117164234003E-2</c:v>
                </c:pt>
                <c:pt idx="7">
                  <c:v>7.5256411971389811E-2</c:v>
                </c:pt>
                <c:pt idx="8">
                  <c:v>7.8957326329450198E-2</c:v>
                </c:pt>
                <c:pt idx="9">
                  <c:v>6.9739284183785805E-2</c:v>
                </c:pt>
                <c:pt idx="10">
                  <c:v>5.2906334326469448E-2</c:v>
                </c:pt>
                <c:pt idx="11">
                  <c:v>3.5074778937335328E-2</c:v>
                </c:pt>
                <c:pt idx="12">
                  <c:v>2.0627708588235545E-2</c:v>
                </c:pt>
                <c:pt idx="13">
                  <c:v>1.0903009068616071E-2</c:v>
                </c:pt>
                <c:pt idx="14">
                  <c:v>5.2389010733156615E-3</c:v>
                </c:pt>
                <c:pt idx="15">
                  <c:v>2.311460462200252E-3</c:v>
                </c:pt>
                <c:pt idx="16">
                  <c:v>9.4476101326930993E-4</c:v>
                </c:pt>
                <c:pt idx="17">
                  <c:v>3.605281855140968E-4</c:v>
                </c:pt>
                <c:pt idx="18">
                  <c:v>1.2934437934144355E-4</c:v>
                </c:pt>
                <c:pt idx="19">
                  <c:v>4.3895935864851515E-5</c:v>
                </c:pt>
                <c:pt idx="20">
                  <c:v>1.4169616791549505E-5</c:v>
                </c:pt>
                <c:pt idx="21">
                  <c:v>4.3720545312726264E-6</c:v>
                </c:pt>
                <c:pt idx="22">
                  <c:v>1.2951576207161273E-6</c:v>
                </c:pt>
                <c:pt idx="23">
                  <c:v>3.6982112380299079E-7</c:v>
                </c:pt>
                <c:pt idx="24">
                  <c:v>1.0216484356801106E-7</c:v>
                </c:pt>
                <c:pt idx="25">
                  <c:v>2.7715799903632351E-8</c:v>
                </c:pt>
                <c:pt idx="26">
                  <c:v>1.2990252769197611E-8</c:v>
                </c:pt>
                <c:pt idx="27">
                  <c:v>7.846582599866996E-8</c:v>
                </c:pt>
                <c:pt idx="28">
                  <c:v>7.6524355101410819E-7</c:v>
                </c:pt>
                <c:pt idx="29">
                  <c:v>5.9075236633732524E-6</c:v>
                </c:pt>
                <c:pt idx="30">
                  <c:v>3.5881979075380913E-5</c:v>
                </c:pt>
                <c:pt idx="31">
                  <c:v>1.7388978786369083E-4</c:v>
                </c:pt>
                <c:pt idx="32">
                  <c:v>6.8141832386123475E-4</c:v>
                </c:pt>
                <c:pt idx="33">
                  <c:v>2.1861930179440693E-3</c:v>
                </c:pt>
                <c:pt idx="34">
                  <c:v>5.8089937104583112E-3</c:v>
                </c:pt>
                <c:pt idx="35">
                  <c:v>1.2921055709167791E-2</c:v>
                </c:pt>
                <c:pt idx="36">
                  <c:v>2.4299761086219025E-2</c:v>
                </c:pt>
                <c:pt idx="37">
                  <c:v>3.8997627780667739E-2</c:v>
                </c:pt>
                <c:pt idx="38">
                  <c:v>5.3871597410289324E-2</c:v>
                </c:pt>
                <c:pt idx="39">
                  <c:v>6.4575950038235685E-2</c:v>
                </c:pt>
                <c:pt idx="40">
                  <c:v>6.7677708282385909E-2</c:v>
                </c:pt>
                <c:pt idx="41">
                  <c:v>6.2452250368734218E-2</c:v>
                </c:pt>
                <c:pt idx="42">
                  <c:v>5.1079609620233404E-2</c:v>
                </c:pt>
                <c:pt idx="43">
                  <c:v>3.7259261085966867E-2</c:v>
                </c:pt>
                <c:pt idx="44">
                  <c:v>2.4379941363872164E-2</c:v>
                </c:pt>
                <c:pt idx="45">
                  <c:v>1.4388456458768777E-2</c:v>
                </c:pt>
                <c:pt idx="46">
                  <c:v>7.6985406670702361E-3</c:v>
                </c:pt>
                <c:pt idx="47">
                  <c:v>3.7524355918185258E-3</c:v>
                </c:pt>
                <c:pt idx="48">
                  <c:v>1.6738040291071853E-3</c:v>
                </c:pt>
                <c:pt idx="49">
                  <c:v>6.861908405988164E-4</c:v>
                </c:pt>
                <c:pt idx="50">
                  <c:v>2.5959183928685073E-4</c:v>
                </c:pt>
                <c:pt idx="51">
                  <c:v>9.0970699008432494E-5</c:v>
                </c:pt>
                <c:pt idx="52">
                  <c:v>2.9637620864312386E-5</c:v>
                </c:pt>
                <c:pt idx="53">
                  <c:v>9.0073675277423185E-6</c:v>
                </c:pt>
                <c:pt idx="54">
                  <c:v>2.5619269308002755E-6</c:v>
                </c:pt>
                <c:pt idx="55">
                  <c:v>6.8403263073120895E-7</c:v>
                </c:pt>
                <c:pt idx="56">
                  <c:v>1.7194327241972351E-7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1-6D43-AD5A-FDAC15A00EA4}"/>
            </c:ext>
          </c:extLst>
        </c:ser>
        <c:ser>
          <c:idx val="1"/>
          <c:order val="1"/>
          <c:tx>
            <c:strRef>
              <c:f>'Industrie-2'!$I$8</c:f>
              <c:strCache>
                <c:ptCount val="1"/>
                <c:pt idx="0">
                  <c:v>Dienstag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'Industrie-2'!$G$25:$G$81</c:f>
              <c:numCache>
                <c:formatCode>[$-F400]h:mm:ss\ AM/PM</c:formatCode>
                <c:ptCount val="57"/>
                <c:pt idx="0">
                  <c:v>0.16666666666666699</c:v>
                </c:pt>
                <c:pt idx="1">
                  <c:v>0.17708333333333301</c:v>
                </c:pt>
                <c:pt idx="2">
                  <c:v>0.1875</c:v>
                </c:pt>
                <c:pt idx="3">
                  <c:v>0.19791666666666699</c:v>
                </c:pt>
                <c:pt idx="4">
                  <c:v>0.20833333333333301</c:v>
                </c:pt>
                <c:pt idx="5">
                  <c:v>0.21875</c:v>
                </c:pt>
                <c:pt idx="6">
                  <c:v>0.22916666666666699</c:v>
                </c:pt>
                <c:pt idx="7">
                  <c:v>0.23958333333333301</c:v>
                </c:pt>
                <c:pt idx="8">
                  <c:v>0.25</c:v>
                </c:pt>
                <c:pt idx="9">
                  <c:v>0.26041666666666702</c:v>
                </c:pt>
                <c:pt idx="10">
                  <c:v>0.27083333333333298</c:v>
                </c:pt>
                <c:pt idx="11">
                  <c:v>0.28125</c:v>
                </c:pt>
                <c:pt idx="12">
                  <c:v>0.29166666666666702</c:v>
                </c:pt>
                <c:pt idx="13">
                  <c:v>0.30208333333333298</c:v>
                </c:pt>
                <c:pt idx="14">
                  <c:v>0.3125</c:v>
                </c:pt>
                <c:pt idx="15">
                  <c:v>0.32291666666666702</c:v>
                </c:pt>
                <c:pt idx="16">
                  <c:v>0.33333333333333298</c:v>
                </c:pt>
                <c:pt idx="17">
                  <c:v>0.34375</c:v>
                </c:pt>
                <c:pt idx="18">
                  <c:v>0.35416666666666702</c:v>
                </c:pt>
                <c:pt idx="19">
                  <c:v>0.36458333333333298</c:v>
                </c:pt>
                <c:pt idx="20">
                  <c:v>0.375</c:v>
                </c:pt>
                <c:pt idx="21">
                  <c:v>0.38541666666666702</c:v>
                </c:pt>
                <c:pt idx="22">
                  <c:v>0.39583333333333298</c:v>
                </c:pt>
                <c:pt idx="23">
                  <c:v>0.40625</c:v>
                </c:pt>
                <c:pt idx="24">
                  <c:v>0.41666666666666702</c:v>
                </c:pt>
                <c:pt idx="25">
                  <c:v>0.42708333333333298</c:v>
                </c:pt>
                <c:pt idx="26">
                  <c:v>0.4375</c:v>
                </c:pt>
                <c:pt idx="27">
                  <c:v>0.44791666666666702</c:v>
                </c:pt>
                <c:pt idx="28">
                  <c:v>0.45833333333333298</c:v>
                </c:pt>
                <c:pt idx="29">
                  <c:v>0.46875</c:v>
                </c:pt>
                <c:pt idx="30">
                  <c:v>0.47916666666666702</c:v>
                </c:pt>
                <c:pt idx="31">
                  <c:v>0.48958333333333298</c:v>
                </c:pt>
                <c:pt idx="32">
                  <c:v>0.5</c:v>
                </c:pt>
                <c:pt idx="33">
                  <c:v>0.51041666666666696</c:v>
                </c:pt>
                <c:pt idx="34">
                  <c:v>0.52083333333333304</c:v>
                </c:pt>
                <c:pt idx="35">
                  <c:v>0.53125</c:v>
                </c:pt>
                <c:pt idx="36">
                  <c:v>0.54166666666666696</c:v>
                </c:pt>
                <c:pt idx="37">
                  <c:v>0.55208333333333304</c:v>
                </c:pt>
                <c:pt idx="38">
                  <c:v>0.5625</c:v>
                </c:pt>
                <c:pt idx="39">
                  <c:v>0.57291666666666696</c:v>
                </c:pt>
                <c:pt idx="40">
                  <c:v>0.58333333333333304</c:v>
                </c:pt>
                <c:pt idx="41">
                  <c:v>0.59375</c:v>
                </c:pt>
                <c:pt idx="42">
                  <c:v>0.60416666666666696</c:v>
                </c:pt>
                <c:pt idx="43">
                  <c:v>0.61458333333333304</c:v>
                </c:pt>
                <c:pt idx="44">
                  <c:v>0.625</c:v>
                </c:pt>
                <c:pt idx="45">
                  <c:v>0.63541666666666696</c:v>
                </c:pt>
                <c:pt idx="46">
                  <c:v>0.64583333333333304</c:v>
                </c:pt>
                <c:pt idx="47">
                  <c:v>0.65625</c:v>
                </c:pt>
                <c:pt idx="48">
                  <c:v>0.66666666666666696</c:v>
                </c:pt>
                <c:pt idx="49">
                  <c:v>0.67708333333333304</c:v>
                </c:pt>
                <c:pt idx="50">
                  <c:v>0.6875</c:v>
                </c:pt>
                <c:pt idx="51">
                  <c:v>0.69791666666666696</c:v>
                </c:pt>
                <c:pt idx="52">
                  <c:v>0.70833333333333304</c:v>
                </c:pt>
                <c:pt idx="53">
                  <c:v>0.71875</c:v>
                </c:pt>
                <c:pt idx="54">
                  <c:v>0.72916666666666696</c:v>
                </c:pt>
                <c:pt idx="55">
                  <c:v>0.73958333333333304</c:v>
                </c:pt>
                <c:pt idx="56">
                  <c:v>0.75</c:v>
                </c:pt>
              </c:numCache>
            </c:numRef>
          </c:cat>
          <c:val>
            <c:numRef>
              <c:f>'Industrie-2'!$I$25:$I$81</c:f>
              <c:numCache>
                <c:formatCode>0.00%</c:formatCode>
                <c:ptCount val="57"/>
                <c:pt idx="0">
                  <c:v>3.3224022529657087E-5</c:v>
                </c:pt>
                <c:pt idx="1">
                  <c:v>3.0399103413312627E-4</c:v>
                </c:pt>
                <c:pt idx="2">
                  <c:v>1.7502940877410368E-3</c:v>
                </c:pt>
                <c:pt idx="3">
                  <c:v>6.7867379647042802E-3</c:v>
                </c:pt>
                <c:pt idx="4">
                  <c:v>1.8735395555665984E-2</c:v>
                </c:pt>
                <c:pt idx="5">
                  <c:v>3.855748497055117E-2</c:v>
                </c:pt>
                <c:pt idx="6">
                  <c:v>6.147391157114912E-2</c:v>
                </c:pt>
                <c:pt idx="7">
                  <c:v>7.8425103001764127E-2</c:v>
                </c:pt>
                <c:pt idx="8">
                  <c:v>8.2281845332795464E-2</c:v>
                </c:pt>
                <c:pt idx="9">
                  <c:v>7.2675675096787309E-2</c:v>
                </c:pt>
                <c:pt idx="10">
                  <c:v>5.5133969456005009E-2</c:v>
                </c:pt>
                <c:pt idx="11">
                  <c:v>3.6551611734696815E-2</c:v>
                </c:pt>
                <c:pt idx="12">
                  <c:v>2.149624368668757E-2</c:v>
                </c:pt>
                <c:pt idx="13">
                  <c:v>1.1362083134663064E-2</c:v>
                </c:pt>
                <c:pt idx="14">
                  <c:v>5.4594863816657948E-3</c:v>
                </c:pt>
                <c:pt idx="15">
                  <c:v>2.4087851132402627E-3</c:v>
                </c:pt>
                <c:pt idx="16">
                  <c:v>9.8454042435433347E-4</c:v>
                </c:pt>
                <c:pt idx="17">
                  <c:v>3.757083196410062E-4</c:v>
                </c:pt>
                <c:pt idx="18">
                  <c:v>1.3479045847160961E-4</c:v>
                </c:pt>
                <c:pt idx="19">
                  <c:v>4.5744185796003163E-5</c:v>
                </c:pt>
                <c:pt idx="20">
                  <c:v>1.4766232235404221E-5</c:v>
                </c:pt>
                <c:pt idx="21">
                  <c:v>4.5561410378525268E-6</c:v>
                </c:pt>
                <c:pt idx="22">
                  <c:v>1.3496905731673328E-6</c:v>
                </c:pt>
                <c:pt idx="23">
                  <c:v>3.8539253954206407E-7</c:v>
                </c:pt>
                <c:pt idx="24">
                  <c:v>1.0646652119192732E-7</c:v>
                </c:pt>
                <c:pt idx="25">
                  <c:v>2.8882780952206346E-8</c:v>
                </c:pt>
                <c:pt idx="26">
                  <c:v>1.3537210780532248E-8</c:v>
                </c:pt>
                <c:pt idx="27">
                  <c:v>8.1769650251245548E-8</c:v>
                </c:pt>
                <c:pt idx="28">
                  <c:v>7.9746433210943908E-7</c:v>
                </c:pt>
                <c:pt idx="29">
                  <c:v>6.1562615018310738E-6</c:v>
                </c:pt>
                <c:pt idx="30">
                  <c:v>3.7392799246975904E-5</c:v>
                </c:pt>
                <c:pt idx="31">
                  <c:v>1.8121146314216204E-4</c:v>
                </c:pt>
                <c:pt idx="32">
                  <c:v>7.101096217080236E-4</c:v>
                </c:pt>
                <c:pt idx="33">
                  <c:v>2.2782432502785567E-3</c:v>
                </c:pt>
                <c:pt idx="34">
                  <c:v>6.0535829193197142E-3</c:v>
                </c:pt>
                <c:pt idx="35">
                  <c:v>1.346510016008012E-2</c:v>
                </c:pt>
                <c:pt idx="36">
                  <c:v>2.5322908921428248E-2</c:v>
                </c:pt>
                <c:pt idx="37">
                  <c:v>4.063963316090638E-2</c:v>
                </c:pt>
                <c:pt idx="38">
                  <c:v>5.613987519598572E-2</c:v>
                </c:pt>
                <c:pt idx="39">
                  <c:v>6.729493740826667E-2</c:v>
                </c:pt>
                <c:pt idx="40">
                  <c:v>7.0527295999538997E-2</c:v>
                </c:pt>
                <c:pt idx="41">
                  <c:v>6.5081818805312497E-2</c:v>
                </c:pt>
                <c:pt idx="42">
                  <c:v>5.3230330025295869E-2</c:v>
                </c:pt>
                <c:pt idx="43">
                  <c:v>3.8828072079060215E-2</c:v>
                </c:pt>
                <c:pt idx="44">
                  <c:v>2.5406465210772045E-2</c:v>
                </c:pt>
                <c:pt idx="45">
                  <c:v>1.4994286204401148E-2</c:v>
                </c:pt>
                <c:pt idx="46">
                  <c:v>8.022689747788983E-3</c:v>
                </c:pt>
                <c:pt idx="47">
                  <c:v>3.9104328798950953E-3</c:v>
                </c:pt>
                <c:pt idx="48">
                  <c:v>1.744279988227488E-3</c:v>
                </c:pt>
                <c:pt idx="49">
                  <c:v>7.1508308651876658E-4</c:v>
                </c:pt>
                <c:pt idx="50">
                  <c:v>2.705220219936655E-4</c:v>
                </c:pt>
                <c:pt idx="51">
                  <c:v>9.4801044229840184E-5</c:v>
                </c:pt>
                <c:pt idx="52">
                  <c:v>3.0885520690178169E-5</c:v>
                </c:pt>
                <c:pt idx="53">
                  <c:v>9.3866251078577849E-6</c:v>
                </c:pt>
                <c:pt idx="54">
                  <c:v>2.6697975384129188E-6</c:v>
                </c:pt>
                <c:pt idx="55">
                  <c:v>7.1283400465673353E-7</c:v>
                </c:pt>
                <c:pt idx="56">
                  <c:v>1.7918298915318557E-7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1-6D43-AD5A-FDAC15A00EA4}"/>
            </c:ext>
          </c:extLst>
        </c:ser>
        <c:ser>
          <c:idx val="2"/>
          <c:order val="2"/>
          <c:tx>
            <c:strRef>
              <c:f>'Industrie-2'!$J$8</c:f>
              <c:strCache>
                <c:ptCount val="1"/>
                <c:pt idx="0">
                  <c:v>Mittwoch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'Industrie-2'!$G$25:$G$81</c:f>
              <c:numCache>
                <c:formatCode>[$-F400]h:mm:ss\ AM/PM</c:formatCode>
                <c:ptCount val="57"/>
                <c:pt idx="0">
                  <c:v>0.16666666666666699</c:v>
                </c:pt>
                <c:pt idx="1">
                  <c:v>0.17708333333333301</c:v>
                </c:pt>
                <c:pt idx="2">
                  <c:v>0.1875</c:v>
                </c:pt>
                <c:pt idx="3">
                  <c:v>0.19791666666666699</c:v>
                </c:pt>
                <c:pt idx="4">
                  <c:v>0.20833333333333301</c:v>
                </c:pt>
                <c:pt idx="5">
                  <c:v>0.21875</c:v>
                </c:pt>
                <c:pt idx="6">
                  <c:v>0.22916666666666699</c:v>
                </c:pt>
                <c:pt idx="7">
                  <c:v>0.23958333333333301</c:v>
                </c:pt>
                <c:pt idx="8">
                  <c:v>0.25</c:v>
                </c:pt>
                <c:pt idx="9">
                  <c:v>0.26041666666666702</c:v>
                </c:pt>
                <c:pt idx="10">
                  <c:v>0.27083333333333298</c:v>
                </c:pt>
                <c:pt idx="11">
                  <c:v>0.28125</c:v>
                </c:pt>
                <c:pt idx="12">
                  <c:v>0.29166666666666702</c:v>
                </c:pt>
                <c:pt idx="13">
                  <c:v>0.30208333333333298</c:v>
                </c:pt>
                <c:pt idx="14">
                  <c:v>0.3125</c:v>
                </c:pt>
                <c:pt idx="15">
                  <c:v>0.32291666666666702</c:v>
                </c:pt>
                <c:pt idx="16">
                  <c:v>0.33333333333333298</c:v>
                </c:pt>
                <c:pt idx="17">
                  <c:v>0.34375</c:v>
                </c:pt>
                <c:pt idx="18">
                  <c:v>0.35416666666666702</c:v>
                </c:pt>
                <c:pt idx="19">
                  <c:v>0.36458333333333298</c:v>
                </c:pt>
                <c:pt idx="20">
                  <c:v>0.375</c:v>
                </c:pt>
                <c:pt idx="21">
                  <c:v>0.38541666666666702</c:v>
                </c:pt>
                <c:pt idx="22">
                  <c:v>0.39583333333333298</c:v>
                </c:pt>
                <c:pt idx="23">
                  <c:v>0.40625</c:v>
                </c:pt>
                <c:pt idx="24">
                  <c:v>0.41666666666666702</c:v>
                </c:pt>
                <c:pt idx="25">
                  <c:v>0.42708333333333298</c:v>
                </c:pt>
                <c:pt idx="26">
                  <c:v>0.4375</c:v>
                </c:pt>
                <c:pt idx="27">
                  <c:v>0.44791666666666702</c:v>
                </c:pt>
                <c:pt idx="28">
                  <c:v>0.45833333333333298</c:v>
                </c:pt>
                <c:pt idx="29">
                  <c:v>0.46875</c:v>
                </c:pt>
                <c:pt idx="30">
                  <c:v>0.47916666666666702</c:v>
                </c:pt>
                <c:pt idx="31">
                  <c:v>0.48958333333333298</c:v>
                </c:pt>
                <c:pt idx="32">
                  <c:v>0.5</c:v>
                </c:pt>
                <c:pt idx="33">
                  <c:v>0.51041666666666696</c:v>
                </c:pt>
                <c:pt idx="34">
                  <c:v>0.52083333333333304</c:v>
                </c:pt>
                <c:pt idx="35">
                  <c:v>0.53125</c:v>
                </c:pt>
                <c:pt idx="36">
                  <c:v>0.54166666666666696</c:v>
                </c:pt>
                <c:pt idx="37">
                  <c:v>0.55208333333333304</c:v>
                </c:pt>
                <c:pt idx="38">
                  <c:v>0.5625</c:v>
                </c:pt>
                <c:pt idx="39">
                  <c:v>0.57291666666666696</c:v>
                </c:pt>
                <c:pt idx="40">
                  <c:v>0.58333333333333304</c:v>
                </c:pt>
                <c:pt idx="41">
                  <c:v>0.59375</c:v>
                </c:pt>
                <c:pt idx="42">
                  <c:v>0.60416666666666696</c:v>
                </c:pt>
                <c:pt idx="43">
                  <c:v>0.61458333333333304</c:v>
                </c:pt>
                <c:pt idx="44">
                  <c:v>0.625</c:v>
                </c:pt>
                <c:pt idx="45">
                  <c:v>0.63541666666666696</c:v>
                </c:pt>
                <c:pt idx="46">
                  <c:v>0.64583333333333304</c:v>
                </c:pt>
                <c:pt idx="47">
                  <c:v>0.65625</c:v>
                </c:pt>
                <c:pt idx="48">
                  <c:v>0.66666666666666696</c:v>
                </c:pt>
                <c:pt idx="49">
                  <c:v>0.67708333333333304</c:v>
                </c:pt>
                <c:pt idx="50">
                  <c:v>0.6875</c:v>
                </c:pt>
                <c:pt idx="51">
                  <c:v>0.69791666666666696</c:v>
                </c:pt>
                <c:pt idx="52">
                  <c:v>0.70833333333333304</c:v>
                </c:pt>
                <c:pt idx="53">
                  <c:v>0.71875</c:v>
                </c:pt>
                <c:pt idx="54">
                  <c:v>0.72916666666666696</c:v>
                </c:pt>
                <c:pt idx="55">
                  <c:v>0.73958333333333304</c:v>
                </c:pt>
                <c:pt idx="56">
                  <c:v>0.75</c:v>
                </c:pt>
              </c:numCache>
            </c:numRef>
          </c:cat>
          <c:val>
            <c:numRef>
              <c:f>'Industrie-2'!$J$25:$J$81</c:f>
              <c:numCache>
                <c:formatCode>0.00%</c:formatCode>
                <c:ptCount val="57"/>
                <c:pt idx="0">
                  <c:v>3.3224022529657087E-5</c:v>
                </c:pt>
                <c:pt idx="1">
                  <c:v>3.0399103413312627E-4</c:v>
                </c:pt>
                <c:pt idx="2">
                  <c:v>1.7502940877410368E-3</c:v>
                </c:pt>
                <c:pt idx="3">
                  <c:v>6.7867379647042802E-3</c:v>
                </c:pt>
                <c:pt idx="4">
                  <c:v>1.8735395555665984E-2</c:v>
                </c:pt>
                <c:pt idx="5">
                  <c:v>3.855748497055117E-2</c:v>
                </c:pt>
                <c:pt idx="6">
                  <c:v>6.147391157114912E-2</c:v>
                </c:pt>
                <c:pt idx="7">
                  <c:v>7.8425103001764127E-2</c:v>
                </c:pt>
                <c:pt idx="8">
                  <c:v>8.2281845332795464E-2</c:v>
                </c:pt>
                <c:pt idx="9">
                  <c:v>7.2675675096787309E-2</c:v>
                </c:pt>
                <c:pt idx="10">
                  <c:v>5.5133969456005009E-2</c:v>
                </c:pt>
                <c:pt idx="11">
                  <c:v>3.6551611734696815E-2</c:v>
                </c:pt>
                <c:pt idx="12">
                  <c:v>2.149624368668757E-2</c:v>
                </c:pt>
                <c:pt idx="13">
                  <c:v>1.1362083134663064E-2</c:v>
                </c:pt>
                <c:pt idx="14">
                  <c:v>5.4594863816657948E-3</c:v>
                </c:pt>
                <c:pt idx="15">
                  <c:v>2.4087851132402627E-3</c:v>
                </c:pt>
                <c:pt idx="16">
                  <c:v>9.8454042435433347E-4</c:v>
                </c:pt>
                <c:pt idx="17">
                  <c:v>3.757083196410062E-4</c:v>
                </c:pt>
                <c:pt idx="18">
                  <c:v>1.3479045847160961E-4</c:v>
                </c:pt>
                <c:pt idx="19">
                  <c:v>4.5744185796003163E-5</c:v>
                </c:pt>
                <c:pt idx="20">
                  <c:v>1.4766232235404221E-5</c:v>
                </c:pt>
                <c:pt idx="21">
                  <c:v>4.5561410378525268E-6</c:v>
                </c:pt>
                <c:pt idx="22">
                  <c:v>1.3496905731673328E-6</c:v>
                </c:pt>
                <c:pt idx="23">
                  <c:v>3.8539253954206407E-7</c:v>
                </c:pt>
                <c:pt idx="24">
                  <c:v>1.0646652119192732E-7</c:v>
                </c:pt>
                <c:pt idx="25">
                  <c:v>2.8882780952206346E-8</c:v>
                </c:pt>
                <c:pt idx="26">
                  <c:v>1.3537210780532248E-8</c:v>
                </c:pt>
                <c:pt idx="27">
                  <c:v>8.1769650251245548E-8</c:v>
                </c:pt>
                <c:pt idx="28">
                  <c:v>7.9746433210943908E-7</c:v>
                </c:pt>
                <c:pt idx="29">
                  <c:v>6.1562615018310738E-6</c:v>
                </c:pt>
                <c:pt idx="30">
                  <c:v>3.7392799246975904E-5</c:v>
                </c:pt>
                <c:pt idx="31">
                  <c:v>1.8121146314216204E-4</c:v>
                </c:pt>
                <c:pt idx="32">
                  <c:v>7.101096217080236E-4</c:v>
                </c:pt>
                <c:pt idx="33">
                  <c:v>2.2782432502785567E-3</c:v>
                </c:pt>
                <c:pt idx="34">
                  <c:v>6.0535829193197142E-3</c:v>
                </c:pt>
                <c:pt idx="35">
                  <c:v>1.346510016008012E-2</c:v>
                </c:pt>
                <c:pt idx="36">
                  <c:v>2.5322908921428248E-2</c:v>
                </c:pt>
                <c:pt idx="37">
                  <c:v>4.063963316090638E-2</c:v>
                </c:pt>
                <c:pt idx="38">
                  <c:v>5.613987519598572E-2</c:v>
                </c:pt>
                <c:pt idx="39">
                  <c:v>6.729493740826667E-2</c:v>
                </c:pt>
                <c:pt idx="40">
                  <c:v>7.0527295999538997E-2</c:v>
                </c:pt>
                <c:pt idx="41">
                  <c:v>6.5081818805312497E-2</c:v>
                </c:pt>
                <c:pt idx="42">
                  <c:v>5.3230330025295869E-2</c:v>
                </c:pt>
                <c:pt idx="43">
                  <c:v>3.8828072079060215E-2</c:v>
                </c:pt>
                <c:pt idx="44">
                  <c:v>2.5406465210772045E-2</c:v>
                </c:pt>
                <c:pt idx="45">
                  <c:v>1.4994286204401148E-2</c:v>
                </c:pt>
                <c:pt idx="46">
                  <c:v>8.022689747788983E-3</c:v>
                </c:pt>
                <c:pt idx="47">
                  <c:v>3.9104328798950953E-3</c:v>
                </c:pt>
                <c:pt idx="48">
                  <c:v>1.744279988227488E-3</c:v>
                </c:pt>
                <c:pt idx="49">
                  <c:v>7.1508308651876658E-4</c:v>
                </c:pt>
                <c:pt idx="50">
                  <c:v>2.705220219936655E-4</c:v>
                </c:pt>
                <c:pt idx="51">
                  <c:v>9.4801044229840184E-5</c:v>
                </c:pt>
                <c:pt idx="52">
                  <c:v>3.0885520690178169E-5</c:v>
                </c:pt>
                <c:pt idx="53">
                  <c:v>9.3866251078577849E-6</c:v>
                </c:pt>
                <c:pt idx="54">
                  <c:v>2.6697975384129188E-6</c:v>
                </c:pt>
                <c:pt idx="55">
                  <c:v>7.1283400465673353E-7</c:v>
                </c:pt>
                <c:pt idx="56">
                  <c:v>1.7918298915318557E-7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F1-6D43-AD5A-FDAC15A00EA4}"/>
            </c:ext>
          </c:extLst>
        </c:ser>
        <c:ser>
          <c:idx val="3"/>
          <c:order val="3"/>
          <c:tx>
            <c:strRef>
              <c:f>'Industrie-2'!$K$8</c:f>
              <c:strCache>
                <c:ptCount val="1"/>
                <c:pt idx="0">
                  <c:v>Donnerstag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'Industrie-2'!$G$25:$G$81</c:f>
              <c:numCache>
                <c:formatCode>[$-F400]h:mm:ss\ AM/PM</c:formatCode>
                <c:ptCount val="57"/>
                <c:pt idx="0">
                  <c:v>0.16666666666666699</c:v>
                </c:pt>
                <c:pt idx="1">
                  <c:v>0.17708333333333301</c:v>
                </c:pt>
                <c:pt idx="2">
                  <c:v>0.1875</c:v>
                </c:pt>
                <c:pt idx="3">
                  <c:v>0.19791666666666699</c:v>
                </c:pt>
                <c:pt idx="4">
                  <c:v>0.20833333333333301</c:v>
                </c:pt>
                <c:pt idx="5">
                  <c:v>0.21875</c:v>
                </c:pt>
                <c:pt idx="6">
                  <c:v>0.22916666666666699</c:v>
                </c:pt>
                <c:pt idx="7">
                  <c:v>0.23958333333333301</c:v>
                </c:pt>
                <c:pt idx="8">
                  <c:v>0.25</c:v>
                </c:pt>
                <c:pt idx="9">
                  <c:v>0.26041666666666702</c:v>
                </c:pt>
                <c:pt idx="10">
                  <c:v>0.27083333333333298</c:v>
                </c:pt>
                <c:pt idx="11">
                  <c:v>0.28125</c:v>
                </c:pt>
                <c:pt idx="12">
                  <c:v>0.29166666666666702</c:v>
                </c:pt>
                <c:pt idx="13">
                  <c:v>0.30208333333333298</c:v>
                </c:pt>
                <c:pt idx="14">
                  <c:v>0.3125</c:v>
                </c:pt>
                <c:pt idx="15">
                  <c:v>0.32291666666666702</c:v>
                </c:pt>
                <c:pt idx="16">
                  <c:v>0.33333333333333298</c:v>
                </c:pt>
                <c:pt idx="17">
                  <c:v>0.34375</c:v>
                </c:pt>
                <c:pt idx="18">
                  <c:v>0.35416666666666702</c:v>
                </c:pt>
                <c:pt idx="19">
                  <c:v>0.36458333333333298</c:v>
                </c:pt>
                <c:pt idx="20">
                  <c:v>0.375</c:v>
                </c:pt>
                <c:pt idx="21">
                  <c:v>0.38541666666666702</c:v>
                </c:pt>
                <c:pt idx="22">
                  <c:v>0.39583333333333298</c:v>
                </c:pt>
                <c:pt idx="23">
                  <c:v>0.40625</c:v>
                </c:pt>
                <c:pt idx="24">
                  <c:v>0.41666666666666702</c:v>
                </c:pt>
                <c:pt idx="25">
                  <c:v>0.42708333333333298</c:v>
                </c:pt>
                <c:pt idx="26">
                  <c:v>0.4375</c:v>
                </c:pt>
                <c:pt idx="27">
                  <c:v>0.44791666666666702</c:v>
                </c:pt>
                <c:pt idx="28">
                  <c:v>0.45833333333333298</c:v>
                </c:pt>
                <c:pt idx="29">
                  <c:v>0.46875</c:v>
                </c:pt>
                <c:pt idx="30">
                  <c:v>0.47916666666666702</c:v>
                </c:pt>
                <c:pt idx="31">
                  <c:v>0.48958333333333298</c:v>
                </c:pt>
                <c:pt idx="32">
                  <c:v>0.5</c:v>
                </c:pt>
                <c:pt idx="33">
                  <c:v>0.51041666666666696</c:v>
                </c:pt>
                <c:pt idx="34">
                  <c:v>0.52083333333333304</c:v>
                </c:pt>
                <c:pt idx="35">
                  <c:v>0.53125</c:v>
                </c:pt>
                <c:pt idx="36">
                  <c:v>0.54166666666666696</c:v>
                </c:pt>
                <c:pt idx="37">
                  <c:v>0.55208333333333304</c:v>
                </c:pt>
                <c:pt idx="38">
                  <c:v>0.5625</c:v>
                </c:pt>
                <c:pt idx="39">
                  <c:v>0.57291666666666696</c:v>
                </c:pt>
                <c:pt idx="40">
                  <c:v>0.58333333333333304</c:v>
                </c:pt>
                <c:pt idx="41">
                  <c:v>0.59375</c:v>
                </c:pt>
                <c:pt idx="42">
                  <c:v>0.60416666666666696</c:v>
                </c:pt>
                <c:pt idx="43">
                  <c:v>0.61458333333333304</c:v>
                </c:pt>
                <c:pt idx="44">
                  <c:v>0.625</c:v>
                </c:pt>
                <c:pt idx="45">
                  <c:v>0.63541666666666696</c:v>
                </c:pt>
                <c:pt idx="46">
                  <c:v>0.64583333333333304</c:v>
                </c:pt>
                <c:pt idx="47">
                  <c:v>0.65625</c:v>
                </c:pt>
                <c:pt idx="48">
                  <c:v>0.66666666666666696</c:v>
                </c:pt>
                <c:pt idx="49">
                  <c:v>0.67708333333333304</c:v>
                </c:pt>
                <c:pt idx="50">
                  <c:v>0.6875</c:v>
                </c:pt>
                <c:pt idx="51">
                  <c:v>0.69791666666666696</c:v>
                </c:pt>
                <c:pt idx="52">
                  <c:v>0.70833333333333304</c:v>
                </c:pt>
                <c:pt idx="53">
                  <c:v>0.71875</c:v>
                </c:pt>
                <c:pt idx="54">
                  <c:v>0.72916666666666696</c:v>
                </c:pt>
                <c:pt idx="55">
                  <c:v>0.73958333333333304</c:v>
                </c:pt>
                <c:pt idx="56">
                  <c:v>0.75</c:v>
                </c:pt>
              </c:numCache>
            </c:numRef>
          </c:cat>
          <c:val>
            <c:numRef>
              <c:f>'Industrie-2'!$K$25:$K$81</c:f>
              <c:numCache>
                <c:formatCode>0.00%</c:formatCode>
                <c:ptCount val="57"/>
                <c:pt idx="0">
                  <c:v>3.3224022529657087E-5</c:v>
                </c:pt>
                <c:pt idx="1">
                  <c:v>3.0399103413312627E-4</c:v>
                </c:pt>
                <c:pt idx="2">
                  <c:v>1.7502940877410368E-3</c:v>
                </c:pt>
                <c:pt idx="3">
                  <c:v>6.7867379647042802E-3</c:v>
                </c:pt>
                <c:pt idx="4">
                  <c:v>1.8735395555665984E-2</c:v>
                </c:pt>
                <c:pt idx="5">
                  <c:v>3.855748497055117E-2</c:v>
                </c:pt>
                <c:pt idx="6">
                  <c:v>6.147391157114912E-2</c:v>
                </c:pt>
                <c:pt idx="7">
                  <c:v>7.8425103001764127E-2</c:v>
                </c:pt>
                <c:pt idx="8">
                  <c:v>8.2281845332795464E-2</c:v>
                </c:pt>
                <c:pt idx="9">
                  <c:v>7.2675675096787309E-2</c:v>
                </c:pt>
                <c:pt idx="10">
                  <c:v>5.5133969456005009E-2</c:v>
                </c:pt>
                <c:pt idx="11">
                  <c:v>3.6551611734696815E-2</c:v>
                </c:pt>
                <c:pt idx="12">
                  <c:v>2.149624368668757E-2</c:v>
                </c:pt>
                <c:pt idx="13">
                  <c:v>1.1362083134663064E-2</c:v>
                </c:pt>
                <c:pt idx="14">
                  <c:v>5.4594863816657948E-3</c:v>
                </c:pt>
                <c:pt idx="15">
                  <c:v>2.4087851132402627E-3</c:v>
                </c:pt>
                <c:pt idx="16">
                  <c:v>9.8454042435433347E-4</c:v>
                </c:pt>
                <c:pt idx="17">
                  <c:v>3.757083196410062E-4</c:v>
                </c:pt>
                <c:pt idx="18">
                  <c:v>1.3479045847160961E-4</c:v>
                </c:pt>
                <c:pt idx="19">
                  <c:v>4.5744185796003163E-5</c:v>
                </c:pt>
                <c:pt idx="20">
                  <c:v>1.4766232235404221E-5</c:v>
                </c:pt>
                <c:pt idx="21">
                  <c:v>4.5561410378525268E-6</c:v>
                </c:pt>
                <c:pt idx="22">
                  <c:v>1.3496905731673328E-6</c:v>
                </c:pt>
                <c:pt idx="23">
                  <c:v>3.8539253954206407E-7</c:v>
                </c:pt>
                <c:pt idx="24">
                  <c:v>1.0646652119192732E-7</c:v>
                </c:pt>
                <c:pt idx="25">
                  <c:v>2.8882780952206346E-8</c:v>
                </c:pt>
                <c:pt idx="26">
                  <c:v>1.3537210780532248E-8</c:v>
                </c:pt>
                <c:pt idx="27">
                  <c:v>8.1769650251245548E-8</c:v>
                </c:pt>
                <c:pt idx="28">
                  <c:v>7.9746433210943908E-7</c:v>
                </c:pt>
                <c:pt idx="29">
                  <c:v>6.1562615018310738E-6</c:v>
                </c:pt>
                <c:pt idx="30">
                  <c:v>3.7392799246975904E-5</c:v>
                </c:pt>
                <c:pt idx="31">
                  <c:v>1.8121146314216204E-4</c:v>
                </c:pt>
                <c:pt idx="32">
                  <c:v>7.101096217080236E-4</c:v>
                </c:pt>
                <c:pt idx="33">
                  <c:v>2.2782432502785567E-3</c:v>
                </c:pt>
                <c:pt idx="34">
                  <c:v>6.0535829193197142E-3</c:v>
                </c:pt>
                <c:pt idx="35">
                  <c:v>1.346510016008012E-2</c:v>
                </c:pt>
                <c:pt idx="36">
                  <c:v>2.5322908921428248E-2</c:v>
                </c:pt>
                <c:pt idx="37">
                  <c:v>4.063963316090638E-2</c:v>
                </c:pt>
                <c:pt idx="38">
                  <c:v>5.613987519598572E-2</c:v>
                </c:pt>
                <c:pt idx="39">
                  <c:v>6.729493740826667E-2</c:v>
                </c:pt>
                <c:pt idx="40">
                  <c:v>7.0527295999538997E-2</c:v>
                </c:pt>
                <c:pt idx="41">
                  <c:v>6.5081818805312497E-2</c:v>
                </c:pt>
                <c:pt idx="42">
                  <c:v>5.3230330025295869E-2</c:v>
                </c:pt>
                <c:pt idx="43">
                  <c:v>3.8828072079060215E-2</c:v>
                </c:pt>
                <c:pt idx="44">
                  <c:v>2.5406465210772045E-2</c:v>
                </c:pt>
                <c:pt idx="45">
                  <c:v>1.4994286204401148E-2</c:v>
                </c:pt>
                <c:pt idx="46">
                  <c:v>8.022689747788983E-3</c:v>
                </c:pt>
                <c:pt idx="47">
                  <c:v>3.9104328798950953E-3</c:v>
                </c:pt>
                <c:pt idx="48">
                  <c:v>1.744279988227488E-3</c:v>
                </c:pt>
                <c:pt idx="49">
                  <c:v>7.1508308651876658E-4</c:v>
                </c:pt>
                <c:pt idx="50">
                  <c:v>2.705220219936655E-4</c:v>
                </c:pt>
                <c:pt idx="51">
                  <c:v>9.4801044229840184E-5</c:v>
                </c:pt>
                <c:pt idx="52">
                  <c:v>3.0885520690178169E-5</c:v>
                </c:pt>
                <c:pt idx="53">
                  <c:v>9.3866251078577849E-6</c:v>
                </c:pt>
                <c:pt idx="54">
                  <c:v>2.6697975384129188E-6</c:v>
                </c:pt>
                <c:pt idx="55">
                  <c:v>7.1283400465673353E-7</c:v>
                </c:pt>
                <c:pt idx="56">
                  <c:v>1.7918298915318557E-7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F1-6D43-AD5A-FDAC15A00EA4}"/>
            </c:ext>
          </c:extLst>
        </c:ser>
        <c:ser>
          <c:idx val="4"/>
          <c:order val="4"/>
          <c:tx>
            <c:strRef>
              <c:f>'Industrie-2'!$L$8</c:f>
              <c:strCache>
                <c:ptCount val="1"/>
                <c:pt idx="0">
                  <c:v>Freitag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'Industrie-2'!$G$25:$G$81</c:f>
              <c:numCache>
                <c:formatCode>[$-F400]h:mm:ss\ AM/PM</c:formatCode>
                <c:ptCount val="57"/>
                <c:pt idx="0">
                  <c:v>0.16666666666666699</c:v>
                </c:pt>
                <c:pt idx="1">
                  <c:v>0.17708333333333301</c:v>
                </c:pt>
                <c:pt idx="2">
                  <c:v>0.1875</c:v>
                </c:pt>
                <c:pt idx="3">
                  <c:v>0.19791666666666699</c:v>
                </c:pt>
                <c:pt idx="4">
                  <c:v>0.20833333333333301</c:v>
                </c:pt>
                <c:pt idx="5">
                  <c:v>0.21875</c:v>
                </c:pt>
                <c:pt idx="6">
                  <c:v>0.22916666666666699</c:v>
                </c:pt>
                <c:pt idx="7">
                  <c:v>0.23958333333333301</c:v>
                </c:pt>
                <c:pt idx="8">
                  <c:v>0.25</c:v>
                </c:pt>
                <c:pt idx="9">
                  <c:v>0.26041666666666702</c:v>
                </c:pt>
                <c:pt idx="10">
                  <c:v>0.27083333333333298</c:v>
                </c:pt>
                <c:pt idx="11">
                  <c:v>0.28125</c:v>
                </c:pt>
                <c:pt idx="12">
                  <c:v>0.29166666666666702</c:v>
                </c:pt>
                <c:pt idx="13">
                  <c:v>0.30208333333333298</c:v>
                </c:pt>
                <c:pt idx="14">
                  <c:v>0.3125</c:v>
                </c:pt>
                <c:pt idx="15">
                  <c:v>0.32291666666666702</c:v>
                </c:pt>
                <c:pt idx="16">
                  <c:v>0.33333333333333298</c:v>
                </c:pt>
                <c:pt idx="17">
                  <c:v>0.34375</c:v>
                </c:pt>
                <c:pt idx="18">
                  <c:v>0.35416666666666702</c:v>
                </c:pt>
                <c:pt idx="19">
                  <c:v>0.36458333333333298</c:v>
                </c:pt>
                <c:pt idx="20">
                  <c:v>0.375</c:v>
                </c:pt>
                <c:pt idx="21">
                  <c:v>0.38541666666666702</c:v>
                </c:pt>
                <c:pt idx="22">
                  <c:v>0.39583333333333298</c:v>
                </c:pt>
                <c:pt idx="23">
                  <c:v>0.40625</c:v>
                </c:pt>
                <c:pt idx="24">
                  <c:v>0.41666666666666702</c:v>
                </c:pt>
                <c:pt idx="25">
                  <c:v>0.42708333333333298</c:v>
                </c:pt>
                <c:pt idx="26">
                  <c:v>0.4375</c:v>
                </c:pt>
                <c:pt idx="27">
                  <c:v>0.44791666666666702</c:v>
                </c:pt>
                <c:pt idx="28">
                  <c:v>0.45833333333333298</c:v>
                </c:pt>
                <c:pt idx="29">
                  <c:v>0.46875</c:v>
                </c:pt>
                <c:pt idx="30">
                  <c:v>0.47916666666666702</c:v>
                </c:pt>
                <c:pt idx="31">
                  <c:v>0.48958333333333298</c:v>
                </c:pt>
                <c:pt idx="32">
                  <c:v>0.5</c:v>
                </c:pt>
                <c:pt idx="33">
                  <c:v>0.51041666666666696</c:v>
                </c:pt>
                <c:pt idx="34">
                  <c:v>0.52083333333333304</c:v>
                </c:pt>
                <c:pt idx="35">
                  <c:v>0.53125</c:v>
                </c:pt>
                <c:pt idx="36">
                  <c:v>0.54166666666666696</c:v>
                </c:pt>
                <c:pt idx="37">
                  <c:v>0.55208333333333304</c:v>
                </c:pt>
                <c:pt idx="38">
                  <c:v>0.5625</c:v>
                </c:pt>
                <c:pt idx="39">
                  <c:v>0.57291666666666696</c:v>
                </c:pt>
                <c:pt idx="40">
                  <c:v>0.58333333333333304</c:v>
                </c:pt>
                <c:pt idx="41">
                  <c:v>0.59375</c:v>
                </c:pt>
                <c:pt idx="42">
                  <c:v>0.60416666666666696</c:v>
                </c:pt>
                <c:pt idx="43">
                  <c:v>0.61458333333333304</c:v>
                </c:pt>
                <c:pt idx="44">
                  <c:v>0.625</c:v>
                </c:pt>
                <c:pt idx="45">
                  <c:v>0.63541666666666696</c:v>
                </c:pt>
                <c:pt idx="46">
                  <c:v>0.64583333333333304</c:v>
                </c:pt>
                <c:pt idx="47">
                  <c:v>0.65625</c:v>
                </c:pt>
                <c:pt idx="48">
                  <c:v>0.66666666666666696</c:v>
                </c:pt>
                <c:pt idx="49">
                  <c:v>0.67708333333333304</c:v>
                </c:pt>
                <c:pt idx="50">
                  <c:v>0.6875</c:v>
                </c:pt>
                <c:pt idx="51">
                  <c:v>0.69791666666666696</c:v>
                </c:pt>
                <c:pt idx="52">
                  <c:v>0.70833333333333304</c:v>
                </c:pt>
                <c:pt idx="53">
                  <c:v>0.71875</c:v>
                </c:pt>
                <c:pt idx="54">
                  <c:v>0.72916666666666696</c:v>
                </c:pt>
                <c:pt idx="55">
                  <c:v>0.73958333333333304</c:v>
                </c:pt>
                <c:pt idx="56">
                  <c:v>0.75</c:v>
                </c:pt>
              </c:numCache>
            </c:numRef>
          </c:cat>
          <c:val>
            <c:numRef>
              <c:f>'Industrie-2'!$L$25:$L$81</c:f>
              <c:numCache>
                <c:formatCode>0.00%</c:formatCode>
                <c:ptCount val="57"/>
                <c:pt idx="0">
                  <c:v>3.0203656845142807E-5</c:v>
                </c:pt>
                <c:pt idx="1">
                  <c:v>2.7635548557556938E-4</c:v>
                </c:pt>
                <c:pt idx="2">
                  <c:v>1.5911764434009426E-3</c:v>
                </c:pt>
                <c:pt idx="3">
                  <c:v>6.1697617860948005E-3</c:v>
                </c:pt>
                <c:pt idx="4">
                  <c:v>1.7032177777878167E-2</c:v>
                </c:pt>
                <c:pt idx="5">
                  <c:v>3.5052259064137427E-2</c:v>
                </c:pt>
                <c:pt idx="6">
                  <c:v>5.5885374155590112E-2</c:v>
                </c:pt>
                <c:pt idx="7">
                  <c:v>7.1295548183421931E-2</c:v>
                </c:pt>
                <c:pt idx="8">
                  <c:v>7.4801677575268608E-2</c:v>
                </c:pt>
                <c:pt idx="9">
                  <c:v>6.606879554253392E-2</c:v>
                </c:pt>
                <c:pt idx="10">
                  <c:v>5.0121790414550012E-2</c:v>
                </c:pt>
                <c:pt idx="11">
                  <c:v>3.3228737940633468E-2</c:v>
                </c:pt>
                <c:pt idx="12">
                  <c:v>1.9542039715170521E-2</c:v>
                </c:pt>
                <c:pt idx="13">
                  <c:v>1.0329166486057331E-2</c:v>
                </c:pt>
                <c:pt idx="14">
                  <c:v>4.9631694378779951E-3</c:v>
                </c:pt>
                <c:pt idx="15">
                  <c:v>2.1898046484002389E-3</c:v>
                </c:pt>
                <c:pt idx="16">
                  <c:v>8.9503674941303053E-4</c:v>
                </c:pt>
                <c:pt idx="17">
                  <c:v>3.4155301785546019E-4</c:v>
                </c:pt>
                <c:pt idx="18">
                  <c:v>1.2253678042873601E-4</c:v>
                </c:pt>
                <c:pt idx="19">
                  <c:v>4.1585623450911965E-5</c:v>
                </c:pt>
                <c:pt idx="20">
                  <c:v>1.342384748673111E-5</c:v>
                </c:pt>
                <c:pt idx="21">
                  <c:v>4.1419463980477524E-6</c:v>
                </c:pt>
                <c:pt idx="22">
                  <c:v>1.2269914301521207E-6</c:v>
                </c:pt>
                <c:pt idx="23">
                  <c:v>3.5035685412914917E-7</c:v>
                </c:pt>
                <c:pt idx="24">
                  <c:v>9.6787746538115754E-8</c:v>
                </c:pt>
                <c:pt idx="25">
                  <c:v>2.6257073592914862E-8</c:v>
                </c:pt>
                <c:pt idx="26">
                  <c:v>1.2306555255029316E-8</c:v>
                </c:pt>
                <c:pt idx="27">
                  <c:v>7.4336045682950505E-8</c:v>
                </c:pt>
                <c:pt idx="28">
                  <c:v>7.249675746449446E-7</c:v>
                </c:pt>
                <c:pt idx="29">
                  <c:v>5.5966013653009759E-6</c:v>
                </c:pt>
                <c:pt idx="30">
                  <c:v>3.3993453860887185E-5</c:v>
                </c:pt>
                <c:pt idx="31">
                  <c:v>1.6473769376560186E-4</c:v>
                </c:pt>
                <c:pt idx="32">
                  <c:v>6.4555420155274878E-4</c:v>
                </c:pt>
                <c:pt idx="33">
                  <c:v>2.0711302275259603E-3</c:v>
                </c:pt>
                <c:pt idx="34">
                  <c:v>5.5032571993815591E-3</c:v>
                </c:pt>
                <c:pt idx="35">
                  <c:v>1.2241000145527382E-2</c:v>
                </c:pt>
                <c:pt idx="36">
                  <c:v>2.3020826292207499E-2</c:v>
                </c:pt>
                <c:pt idx="37">
                  <c:v>3.6945121055369436E-2</c:v>
                </c:pt>
                <c:pt idx="38">
                  <c:v>5.1036250178168832E-2</c:v>
                </c:pt>
                <c:pt idx="39">
                  <c:v>6.1177215825696969E-2</c:v>
                </c:pt>
                <c:pt idx="40">
                  <c:v>6.4115723635944546E-2</c:v>
                </c:pt>
                <c:pt idx="41">
                  <c:v>5.9165289823011363E-2</c:v>
                </c:pt>
                <c:pt idx="42">
                  <c:v>4.8391209113905334E-2</c:v>
                </c:pt>
                <c:pt idx="43">
                  <c:v>3.5298247344600193E-2</c:v>
                </c:pt>
                <c:pt idx="44">
                  <c:v>2.3096786555247314E-2</c:v>
                </c:pt>
                <c:pt idx="45">
                  <c:v>1.3631169276728316E-2</c:v>
                </c:pt>
                <c:pt idx="46">
                  <c:v>7.2933543161718033E-3</c:v>
                </c:pt>
                <c:pt idx="47">
                  <c:v>3.5549389817228138E-3</c:v>
                </c:pt>
                <c:pt idx="48">
                  <c:v>1.5857090802068074E-3</c:v>
                </c:pt>
                <c:pt idx="49">
                  <c:v>6.5007553319887878E-4</c:v>
                </c:pt>
                <c:pt idx="50">
                  <c:v>2.4592911090333229E-4</c:v>
                </c:pt>
                <c:pt idx="51">
                  <c:v>8.6182767481672896E-5</c:v>
                </c:pt>
                <c:pt idx="52">
                  <c:v>2.8077746081980155E-5</c:v>
                </c:pt>
                <c:pt idx="53">
                  <c:v>8.5332955525979858E-6</c:v>
                </c:pt>
                <c:pt idx="54">
                  <c:v>2.4270886712844715E-6</c:v>
                </c:pt>
                <c:pt idx="55">
                  <c:v>6.4803091332430328E-7</c:v>
                </c:pt>
                <c:pt idx="56">
                  <c:v>1.6289362650289598E-7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F1-6D43-AD5A-FDAC15A00EA4}"/>
            </c:ext>
          </c:extLst>
        </c:ser>
        <c:ser>
          <c:idx val="5"/>
          <c:order val="5"/>
          <c:tx>
            <c:strRef>
              <c:f>'Industrie-2'!$M$8</c:f>
              <c:strCache>
                <c:ptCount val="1"/>
                <c:pt idx="0">
                  <c:v>Samstag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'Industrie-2'!$G$25:$G$81</c:f>
              <c:numCache>
                <c:formatCode>[$-F400]h:mm:ss\ AM/PM</c:formatCode>
                <c:ptCount val="57"/>
                <c:pt idx="0">
                  <c:v>0.16666666666666699</c:v>
                </c:pt>
                <c:pt idx="1">
                  <c:v>0.17708333333333301</c:v>
                </c:pt>
                <c:pt idx="2">
                  <c:v>0.1875</c:v>
                </c:pt>
                <c:pt idx="3">
                  <c:v>0.19791666666666699</c:v>
                </c:pt>
                <c:pt idx="4">
                  <c:v>0.20833333333333301</c:v>
                </c:pt>
                <c:pt idx="5">
                  <c:v>0.21875</c:v>
                </c:pt>
                <c:pt idx="6">
                  <c:v>0.22916666666666699</c:v>
                </c:pt>
                <c:pt idx="7">
                  <c:v>0.23958333333333301</c:v>
                </c:pt>
                <c:pt idx="8">
                  <c:v>0.25</c:v>
                </c:pt>
                <c:pt idx="9">
                  <c:v>0.26041666666666702</c:v>
                </c:pt>
                <c:pt idx="10">
                  <c:v>0.27083333333333298</c:v>
                </c:pt>
                <c:pt idx="11">
                  <c:v>0.28125</c:v>
                </c:pt>
                <c:pt idx="12">
                  <c:v>0.29166666666666702</c:v>
                </c:pt>
                <c:pt idx="13">
                  <c:v>0.30208333333333298</c:v>
                </c:pt>
                <c:pt idx="14">
                  <c:v>0.3125</c:v>
                </c:pt>
                <c:pt idx="15">
                  <c:v>0.32291666666666702</c:v>
                </c:pt>
                <c:pt idx="16">
                  <c:v>0.33333333333333298</c:v>
                </c:pt>
                <c:pt idx="17">
                  <c:v>0.34375</c:v>
                </c:pt>
                <c:pt idx="18">
                  <c:v>0.35416666666666702</c:v>
                </c:pt>
                <c:pt idx="19">
                  <c:v>0.36458333333333298</c:v>
                </c:pt>
                <c:pt idx="20">
                  <c:v>0.375</c:v>
                </c:pt>
                <c:pt idx="21">
                  <c:v>0.38541666666666702</c:v>
                </c:pt>
                <c:pt idx="22">
                  <c:v>0.39583333333333298</c:v>
                </c:pt>
                <c:pt idx="23">
                  <c:v>0.40625</c:v>
                </c:pt>
                <c:pt idx="24">
                  <c:v>0.41666666666666702</c:v>
                </c:pt>
                <c:pt idx="25">
                  <c:v>0.42708333333333298</c:v>
                </c:pt>
                <c:pt idx="26">
                  <c:v>0.4375</c:v>
                </c:pt>
                <c:pt idx="27">
                  <c:v>0.44791666666666702</c:v>
                </c:pt>
                <c:pt idx="28">
                  <c:v>0.45833333333333298</c:v>
                </c:pt>
                <c:pt idx="29">
                  <c:v>0.46875</c:v>
                </c:pt>
                <c:pt idx="30">
                  <c:v>0.47916666666666702</c:v>
                </c:pt>
                <c:pt idx="31">
                  <c:v>0.48958333333333298</c:v>
                </c:pt>
                <c:pt idx="32">
                  <c:v>0.5</c:v>
                </c:pt>
                <c:pt idx="33">
                  <c:v>0.51041666666666696</c:v>
                </c:pt>
                <c:pt idx="34">
                  <c:v>0.52083333333333304</c:v>
                </c:pt>
                <c:pt idx="35">
                  <c:v>0.53125</c:v>
                </c:pt>
                <c:pt idx="36">
                  <c:v>0.54166666666666696</c:v>
                </c:pt>
                <c:pt idx="37">
                  <c:v>0.55208333333333304</c:v>
                </c:pt>
                <c:pt idx="38">
                  <c:v>0.5625</c:v>
                </c:pt>
                <c:pt idx="39">
                  <c:v>0.57291666666666696</c:v>
                </c:pt>
                <c:pt idx="40">
                  <c:v>0.58333333333333304</c:v>
                </c:pt>
                <c:pt idx="41">
                  <c:v>0.59375</c:v>
                </c:pt>
                <c:pt idx="42">
                  <c:v>0.60416666666666696</c:v>
                </c:pt>
                <c:pt idx="43">
                  <c:v>0.61458333333333304</c:v>
                </c:pt>
                <c:pt idx="44">
                  <c:v>0.625</c:v>
                </c:pt>
                <c:pt idx="45">
                  <c:v>0.63541666666666696</c:v>
                </c:pt>
                <c:pt idx="46">
                  <c:v>0.64583333333333304</c:v>
                </c:pt>
                <c:pt idx="47">
                  <c:v>0.65625</c:v>
                </c:pt>
                <c:pt idx="48">
                  <c:v>0.66666666666666696</c:v>
                </c:pt>
                <c:pt idx="49">
                  <c:v>0.67708333333333304</c:v>
                </c:pt>
                <c:pt idx="50">
                  <c:v>0.6875</c:v>
                </c:pt>
                <c:pt idx="51">
                  <c:v>0.69791666666666696</c:v>
                </c:pt>
                <c:pt idx="52">
                  <c:v>0.70833333333333304</c:v>
                </c:pt>
                <c:pt idx="53">
                  <c:v>0.71875</c:v>
                </c:pt>
                <c:pt idx="54">
                  <c:v>0.72916666666666696</c:v>
                </c:pt>
                <c:pt idx="55">
                  <c:v>0.73958333333333304</c:v>
                </c:pt>
                <c:pt idx="56">
                  <c:v>0.75</c:v>
                </c:pt>
              </c:numCache>
            </c:numRef>
          </c:cat>
          <c:val>
            <c:numRef>
              <c:f>'Industrie-2'!$M$25:$M$81</c:f>
              <c:numCache>
                <c:formatCode>0.00%</c:formatCode>
                <c:ptCount val="57"/>
                <c:pt idx="0">
                  <c:v>2.0135771230095204E-5</c:v>
                </c:pt>
                <c:pt idx="1">
                  <c:v>1.842369903837129E-4</c:v>
                </c:pt>
                <c:pt idx="2">
                  <c:v>1.0607842956006283E-3</c:v>
                </c:pt>
                <c:pt idx="3">
                  <c:v>4.1131745240631998E-3</c:v>
                </c:pt>
                <c:pt idx="4">
                  <c:v>1.135478518525211E-2</c:v>
                </c:pt>
                <c:pt idx="5">
                  <c:v>2.3368172709424952E-2</c:v>
                </c:pt>
                <c:pt idx="6">
                  <c:v>3.7256916103726737E-2</c:v>
                </c:pt>
                <c:pt idx="7">
                  <c:v>4.753036545561462E-2</c:v>
                </c:pt>
                <c:pt idx="8">
                  <c:v>4.9867785050179074E-2</c:v>
                </c:pt>
                <c:pt idx="9">
                  <c:v>4.4045863695022613E-2</c:v>
                </c:pt>
                <c:pt idx="10">
                  <c:v>3.3414526943033339E-2</c:v>
                </c:pt>
                <c:pt idx="11">
                  <c:v>2.2152491960422311E-2</c:v>
                </c:pt>
                <c:pt idx="12">
                  <c:v>1.3028026476780346E-2</c:v>
                </c:pt>
                <c:pt idx="13">
                  <c:v>6.886110990704887E-3</c:v>
                </c:pt>
                <c:pt idx="14">
                  <c:v>3.3087796252519969E-3</c:v>
                </c:pt>
                <c:pt idx="15">
                  <c:v>1.4598697656001594E-3</c:v>
                </c:pt>
                <c:pt idx="16">
                  <c:v>5.9669116627535362E-4</c:v>
                </c:pt>
                <c:pt idx="17">
                  <c:v>2.2770201190364011E-4</c:v>
                </c:pt>
                <c:pt idx="18">
                  <c:v>8.1691186952490667E-5</c:v>
                </c:pt>
                <c:pt idx="19">
                  <c:v>2.7723748967274642E-5</c:v>
                </c:pt>
                <c:pt idx="20">
                  <c:v>8.9492316578207391E-6</c:v>
                </c:pt>
                <c:pt idx="21">
                  <c:v>2.7612975986985012E-6</c:v>
                </c:pt>
                <c:pt idx="22">
                  <c:v>8.1799428676808044E-7</c:v>
                </c:pt>
                <c:pt idx="23">
                  <c:v>2.3357123608609945E-7</c:v>
                </c:pt>
                <c:pt idx="24">
                  <c:v>6.4525164358743828E-8</c:v>
                </c:pt>
                <c:pt idx="25">
                  <c:v>1.7504715728609908E-8</c:v>
                </c:pt>
                <c:pt idx="26">
                  <c:v>8.2043701700195442E-9</c:v>
                </c:pt>
                <c:pt idx="27">
                  <c:v>4.9557363788633663E-8</c:v>
                </c:pt>
                <c:pt idx="28">
                  <c:v>4.8331171642996307E-7</c:v>
                </c:pt>
                <c:pt idx="29">
                  <c:v>3.7310675768673171E-6</c:v>
                </c:pt>
                <c:pt idx="30">
                  <c:v>2.2662302573924789E-5</c:v>
                </c:pt>
                <c:pt idx="31">
                  <c:v>1.098251291770679E-4</c:v>
                </c:pt>
                <c:pt idx="32">
                  <c:v>4.303694677018325E-4</c:v>
                </c:pt>
                <c:pt idx="33">
                  <c:v>1.3807534850173069E-3</c:v>
                </c:pt>
                <c:pt idx="34">
                  <c:v>3.668838132921039E-3</c:v>
                </c:pt>
                <c:pt idx="35">
                  <c:v>8.1606667636849213E-3</c:v>
                </c:pt>
                <c:pt idx="36">
                  <c:v>1.5347217528138331E-2</c:v>
                </c:pt>
                <c:pt idx="37">
                  <c:v>2.4630080703579624E-2</c:v>
                </c:pt>
                <c:pt idx="38">
                  <c:v>3.402416678544589E-2</c:v>
                </c:pt>
                <c:pt idx="39">
                  <c:v>4.0784810550464644E-2</c:v>
                </c:pt>
                <c:pt idx="40">
                  <c:v>4.2743815757296362E-2</c:v>
                </c:pt>
                <c:pt idx="41">
                  <c:v>3.9443526548674245E-2</c:v>
                </c:pt>
                <c:pt idx="42">
                  <c:v>3.2260806075936885E-2</c:v>
                </c:pt>
                <c:pt idx="43">
                  <c:v>2.3532164896400129E-2</c:v>
                </c:pt>
                <c:pt idx="44">
                  <c:v>1.5397857703498209E-2</c:v>
                </c:pt>
                <c:pt idx="45">
                  <c:v>9.0874461844855439E-3</c:v>
                </c:pt>
                <c:pt idx="46">
                  <c:v>4.8622362107812013E-3</c:v>
                </c:pt>
                <c:pt idx="47">
                  <c:v>2.3699593211485427E-3</c:v>
                </c:pt>
                <c:pt idx="48">
                  <c:v>1.0571393868045382E-3</c:v>
                </c:pt>
                <c:pt idx="49">
                  <c:v>4.3338368879925247E-4</c:v>
                </c:pt>
                <c:pt idx="50">
                  <c:v>1.6395274060222154E-4</c:v>
                </c:pt>
                <c:pt idx="51">
                  <c:v>5.7455178321115264E-5</c:v>
                </c:pt>
                <c:pt idx="52">
                  <c:v>1.8718497387986771E-5</c:v>
                </c:pt>
                <c:pt idx="53">
                  <c:v>5.6888637017319908E-6</c:v>
                </c:pt>
                <c:pt idx="54">
                  <c:v>1.6180591141896476E-6</c:v>
                </c:pt>
                <c:pt idx="55">
                  <c:v>4.320206088828688E-7</c:v>
                </c:pt>
                <c:pt idx="56">
                  <c:v>1.0859575100193064E-7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F1-6D43-AD5A-FDAC15A00EA4}"/>
            </c:ext>
          </c:extLst>
        </c:ser>
        <c:ser>
          <c:idx val="6"/>
          <c:order val="6"/>
          <c:tx>
            <c:strRef>
              <c:f>'Industrie-2'!$N$8</c:f>
              <c:strCache>
                <c:ptCount val="1"/>
                <c:pt idx="0">
                  <c:v>Sonntag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'Industrie-2'!$G$25:$G$81</c:f>
              <c:numCache>
                <c:formatCode>[$-F400]h:mm:ss\ AM/PM</c:formatCode>
                <c:ptCount val="57"/>
                <c:pt idx="0">
                  <c:v>0.16666666666666699</c:v>
                </c:pt>
                <c:pt idx="1">
                  <c:v>0.17708333333333301</c:v>
                </c:pt>
                <c:pt idx="2">
                  <c:v>0.1875</c:v>
                </c:pt>
                <c:pt idx="3">
                  <c:v>0.19791666666666699</c:v>
                </c:pt>
                <c:pt idx="4">
                  <c:v>0.20833333333333301</c:v>
                </c:pt>
                <c:pt idx="5">
                  <c:v>0.21875</c:v>
                </c:pt>
                <c:pt idx="6">
                  <c:v>0.22916666666666699</c:v>
                </c:pt>
                <c:pt idx="7">
                  <c:v>0.23958333333333301</c:v>
                </c:pt>
                <c:pt idx="8">
                  <c:v>0.25</c:v>
                </c:pt>
                <c:pt idx="9">
                  <c:v>0.26041666666666702</c:v>
                </c:pt>
                <c:pt idx="10">
                  <c:v>0.27083333333333298</c:v>
                </c:pt>
                <c:pt idx="11">
                  <c:v>0.28125</c:v>
                </c:pt>
                <c:pt idx="12">
                  <c:v>0.29166666666666702</c:v>
                </c:pt>
                <c:pt idx="13">
                  <c:v>0.30208333333333298</c:v>
                </c:pt>
                <c:pt idx="14">
                  <c:v>0.3125</c:v>
                </c:pt>
                <c:pt idx="15">
                  <c:v>0.32291666666666702</c:v>
                </c:pt>
                <c:pt idx="16">
                  <c:v>0.33333333333333298</c:v>
                </c:pt>
                <c:pt idx="17">
                  <c:v>0.34375</c:v>
                </c:pt>
                <c:pt idx="18">
                  <c:v>0.35416666666666702</c:v>
                </c:pt>
                <c:pt idx="19">
                  <c:v>0.36458333333333298</c:v>
                </c:pt>
                <c:pt idx="20">
                  <c:v>0.375</c:v>
                </c:pt>
                <c:pt idx="21">
                  <c:v>0.38541666666666702</c:v>
                </c:pt>
                <c:pt idx="22">
                  <c:v>0.39583333333333298</c:v>
                </c:pt>
                <c:pt idx="23">
                  <c:v>0.40625</c:v>
                </c:pt>
                <c:pt idx="24">
                  <c:v>0.41666666666666702</c:v>
                </c:pt>
                <c:pt idx="25">
                  <c:v>0.42708333333333298</c:v>
                </c:pt>
                <c:pt idx="26">
                  <c:v>0.4375</c:v>
                </c:pt>
                <c:pt idx="27">
                  <c:v>0.44791666666666702</c:v>
                </c:pt>
                <c:pt idx="28">
                  <c:v>0.45833333333333298</c:v>
                </c:pt>
                <c:pt idx="29">
                  <c:v>0.46875</c:v>
                </c:pt>
                <c:pt idx="30">
                  <c:v>0.47916666666666702</c:v>
                </c:pt>
                <c:pt idx="31">
                  <c:v>0.48958333333333298</c:v>
                </c:pt>
                <c:pt idx="32">
                  <c:v>0.5</c:v>
                </c:pt>
                <c:pt idx="33">
                  <c:v>0.51041666666666696</c:v>
                </c:pt>
                <c:pt idx="34">
                  <c:v>0.52083333333333304</c:v>
                </c:pt>
                <c:pt idx="35">
                  <c:v>0.53125</c:v>
                </c:pt>
                <c:pt idx="36">
                  <c:v>0.54166666666666696</c:v>
                </c:pt>
                <c:pt idx="37">
                  <c:v>0.55208333333333304</c:v>
                </c:pt>
                <c:pt idx="38">
                  <c:v>0.5625</c:v>
                </c:pt>
                <c:pt idx="39">
                  <c:v>0.57291666666666696</c:v>
                </c:pt>
                <c:pt idx="40">
                  <c:v>0.58333333333333304</c:v>
                </c:pt>
                <c:pt idx="41">
                  <c:v>0.59375</c:v>
                </c:pt>
                <c:pt idx="42">
                  <c:v>0.60416666666666696</c:v>
                </c:pt>
                <c:pt idx="43">
                  <c:v>0.61458333333333304</c:v>
                </c:pt>
                <c:pt idx="44">
                  <c:v>0.625</c:v>
                </c:pt>
                <c:pt idx="45">
                  <c:v>0.63541666666666696</c:v>
                </c:pt>
                <c:pt idx="46">
                  <c:v>0.64583333333333304</c:v>
                </c:pt>
                <c:pt idx="47">
                  <c:v>0.65625</c:v>
                </c:pt>
                <c:pt idx="48">
                  <c:v>0.66666666666666696</c:v>
                </c:pt>
                <c:pt idx="49">
                  <c:v>0.67708333333333304</c:v>
                </c:pt>
                <c:pt idx="50">
                  <c:v>0.6875</c:v>
                </c:pt>
                <c:pt idx="51">
                  <c:v>0.69791666666666696</c:v>
                </c:pt>
                <c:pt idx="52">
                  <c:v>0.70833333333333304</c:v>
                </c:pt>
                <c:pt idx="53">
                  <c:v>0.71875</c:v>
                </c:pt>
                <c:pt idx="54">
                  <c:v>0.72916666666666696</c:v>
                </c:pt>
                <c:pt idx="55">
                  <c:v>0.73958333333333304</c:v>
                </c:pt>
                <c:pt idx="56">
                  <c:v>0.75</c:v>
                </c:pt>
              </c:numCache>
            </c:numRef>
          </c:cat>
          <c:val>
            <c:numRef>
              <c:f>'Industrie-2'!$N$25:$N$81</c:f>
              <c:numCache>
                <c:formatCode>0.00%</c:formatCode>
                <c:ptCount val="57"/>
                <c:pt idx="0">
                  <c:v>1.8457790294253937E-5</c:v>
                </c:pt>
                <c:pt idx="1">
                  <c:v>1.6888390785173684E-4</c:v>
                </c:pt>
                <c:pt idx="2">
                  <c:v>9.7238560430057603E-4</c:v>
                </c:pt>
                <c:pt idx="3">
                  <c:v>3.770409980391267E-3</c:v>
                </c:pt>
                <c:pt idx="4">
                  <c:v>1.0408553086481103E-2</c:v>
                </c:pt>
                <c:pt idx="5">
                  <c:v>2.1420824983639539E-2</c:v>
                </c:pt>
                <c:pt idx="6">
                  <c:v>3.4152173095082845E-2</c:v>
                </c:pt>
                <c:pt idx="7">
                  <c:v>4.356950166764674E-2</c:v>
                </c:pt>
                <c:pt idx="8">
                  <c:v>4.5712136295997484E-2</c:v>
                </c:pt>
                <c:pt idx="9">
                  <c:v>4.0375375053770729E-2</c:v>
                </c:pt>
                <c:pt idx="10">
                  <c:v>3.0629983031113896E-2</c:v>
                </c:pt>
                <c:pt idx="11">
                  <c:v>2.0306450963720454E-2</c:v>
                </c:pt>
                <c:pt idx="12">
                  <c:v>1.1942357603715318E-2</c:v>
                </c:pt>
                <c:pt idx="13">
                  <c:v>6.3122684081461473E-3</c:v>
                </c:pt>
                <c:pt idx="14">
                  <c:v>3.0330479898143304E-3</c:v>
                </c:pt>
                <c:pt idx="15">
                  <c:v>1.3382139518001461E-3</c:v>
                </c:pt>
                <c:pt idx="16">
                  <c:v>5.4696690241907422E-4</c:v>
                </c:pt>
                <c:pt idx="17">
                  <c:v>2.0872684424500345E-4</c:v>
                </c:pt>
                <c:pt idx="18">
                  <c:v>7.4883588039783121E-5</c:v>
                </c:pt>
                <c:pt idx="19">
                  <c:v>2.5413436553335093E-5</c:v>
                </c:pt>
                <c:pt idx="20">
                  <c:v>8.2034623530023459E-6</c:v>
                </c:pt>
                <c:pt idx="21">
                  <c:v>2.5311894654736263E-6</c:v>
                </c:pt>
                <c:pt idx="22">
                  <c:v>7.4982809620407381E-7</c:v>
                </c:pt>
                <c:pt idx="23">
                  <c:v>2.1410696641225785E-7</c:v>
                </c:pt>
                <c:pt idx="24">
                  <c:v>5.9148067328848517E-8</c:v>
                </c:pt>
                <c:pt idx="25">
                  <c:v>1.6045989417892416E-8</c:v>
                </c:pt>
                <c:pt idx="26">
                  <c:v>7.5206726558512497E-9</c:v>
                </c:pt>
                <c:pt idx="27">
                  <c:v>4.5427583472914195E-8</c:v>
                </c:pt>
                <c:pt idx="28">
                  <c:v>4.4303574006079953E-7</c:v>
                </c:pt>
                <c:pt idx="29">
                  <c:v>3.420145278795041E-6</c:v>
                </c:pt>
                <c:pt idx="30">
                  <c:v>2.077377735943106E-5</c:v>
                </c:pt>
                <c:pt idx="31">
                  <c:v>1.0067303507897892E-4</c:v>
                </c:pt>
                <c:pt idx="32">
                  <c:v>3.9450534539334648E-4</c:v>
                </c:pt>
                <c:pt idx="33">
                  <c:v>1.2656906945991981E-3</c:v>
                </c:pt>
                <c:pt idx="34">
                  <c:v>3.363101621844286E-3</c:v>
                </c:pt>
                <c:pt idx="35">
                  <c:v>7.4806112000445121E-3</c:v>
                </c:pt>
                <c:pt idx="36">
                  <c:v>1.4068282734126806E-2</c:v>
                </c:pt>
                <c:pt idx="37">
                  <c:v>2.2577573978281324E-2</c:v>
                </c:pt>
                <c:pt idx="38">
                  <c:v>3.1188819553325402E-2</c:v>
                </c:pt>
                <c:pt idx="39">
                  <c:v>3.7386076337925928E-2</c:v>
                </c:pt>
                <c:pt idx="40">
                  <c:v>3.9181831110855006E-2</c:v>
                </c:pt>
                <c:pt idx="41">
                  <c:v>3.615656600295139E-2</c:v>
                </c:pt>
                <c:pt idx="42">
                  <c:v>2.9572405569608818E-2</c:v>
                </c:pt>
                <c:pt idx="43">
                  <c:v>2.1571151155033455E-2</c:v>
                </c:pt>
                <c:pt idx="44">
                  <c:v>1.4114702894873361E-2</c:v>
                </c:pt>
                <c:pt idx="45">
                  <c:v>8.3301590024450825E-3</c:v>
                </c:pt>
                <c:pt idx="46">
                  <c:v>4.4570498598827685E-3</c:v>
                </c:pt>
                <c:pt idx="47">
                  <c:v>2.1724627110528308E-3</c:v>
                </c:pt>
                <c:pt idx="48">
                  <c:v>9.6904443790416005E-4</c:v>
                </c:pt>
                <c:pt idx="49">
                  <c:v>3.9726838139931479E-4</c:v>
                </c:pt>
                <c:pt idx="50">
                  <c:v>1.5029001221870307E-4</c:v>
                </c:pt>
                <c:pt idx="51">
                  <c:v>5.2667246794355665E-5</c:v>
                </c:pt>
                <c:pt idx="52">
                  <c:v>1.715862260565454E-5</c:v>
                </c:pt>
                <c:pt idx="53">
                  <c:v>5.2147917265876582E-6</c:v>
                </c:pt>
                <c:pt idx="54">
                  <c:v>1.4832208546738438E-6</c:v>
                </c:pt>
                <c:pt idx="55">
                  <c:v>3.9601889147596313E-7</c:v>
                </c:pt>
                <c:pt idx="56">
                  <c:v>9.9546105085103101E-8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F1-6D43-AD5A-FDAC15A00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350223"/>
        <c:axId val="995351935"/>
      </c:lineChart>
      <c:catAx>
        <c:axId val="995350223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95351935"/>
        <c:crosses val="autoZero"/>
        <c:auto val="1"/>
        <c:lblAlgn val="ctr"/>
        <c:lblOffset val="100"/>
        <c:noMultiLvlLbl val="0"/>
      </c:catAx>
      <c:valAx>
        <c:axId val="99535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9535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'Industrie-3'!$I$8</c:f>
              <c:strCache>
                <c:ptCount val="1"/>
                <c:pt idx="0">
                  <c:v>Montag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'Industrie-3'!$H$9:$H$104</c:f>
              <c:numCache>
                <c:formatCode>[$-F400]h:mm:ss\ AM/PM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'Industrie-3'!$I$9:$I$104</c:f>
              <c:numCache>
                <c:formatCode>0.00%</c:formatCode>
                <c:ptCount val="96"/>
                <c:pt idx="0">
                  <c:v>0</c:v>
                </c:pt>
                <c:pt idx="1">
                  <c:v>5.1536220282099998E-220</c:v>
                </c:pt>
                <c:pt idx="2">
                  <c:v>4.4374248093999311E-135</c:v>
                </c:pt>
                <c:pt idx="3">
                  <c:v>4.5512504858934922E-95</c:v>
                </c:pt>
                <c:pt idx="4">
                  <c:v>5.2040345915157862E-71</c:v>
                </c:pt>
                <c:pt idx="5">
                  <c:v>7.982359546667135E-55</c:v>
                </c:pt>
                <c:pt idx="6">
                  <c:v>3.3237161876395373E-43</c:v>
                </c:pt>
                <c:pt idx="7">
                  <c:v>1.6575940606367884E-34</c:v>
                </c:pt>
                <c:pt idx="8">
                  <c:v>8.312660933508618E-28</c:v>
                </c:pt>
                <c:pt idx="9">
                  <c:v>1.5382309695187464E-22</c:v>
                </c:pt>
                <c:pt idx="10">
                  <c:v>2.4447865570582437E-18</c:v>
                </c:pt>
                <c:pt idx="11">
                  <c:v>5.9345969847564191E-15</c:v>
                </c:pt>
                <c:pt idx="12">
                  <c:v>3.3060380705413624E-12</c:v>
                </c:pt>
                <c:pt idx="13">
                  <c:v>5.6878571818249975E-10</c:v>
                </c:pt>
                <c:pt idx="14">
                  <c:v>3.7736728913254104E-8</c:v>
                </c:pt>
                <c:pt idx="15">
                  <c:v>1.1440522057877226E-6</c:v>
                </c:pt>
                <c:pt idx="16">
                  <c:v>1.8085506755209901E-5</c:v>
                </c:pt>
                <c:pt idx="17">
                  <c:v>1.6547761176210121E-4</c:v>
                </c:pt>
                <c:pt idx="18">
                  <c:v>9.5277311828174938E-4</c:v>
                </c:pt>
                <c:pt idx="19">
                  <c:v>3.6943628724346888E-3</c:v>
                </c:pt>
                <c:pt idx="20">
                  <c:v>1.0198618261261573E-2</c:v>
                </c:pt>
                <c:pt idx="21">
                  <c:v>2.0988778654852568E-2</c:v>
                </c:pt>
                <c:pt idx="22">
                  <c:v>3.3463342435334803E-2</c:v>
                </c:pt>
                <c:pt idx="23">
                  <c:v>4.2690728639205408E-2</c:v>
                </c:pt>
                <c:pt idx="24">
                  <c:v>4.4790147498517487E-2</c:v>
                </c:pt>
                <c:pt idx="25">
                  <c:v>3.9561025812847379E-2</c:v>
                </c:pt>
                <c:pt idx="26">
                  <c:v>3.0012193019314289E-2</c:v>
                </c:pt>
                <c:pt idx="27">
                  <c:v>1.9896880949667826E-2</c:v>
                </c:pt>
                <c:pt idx="28">
                  <c:v>1.1701486779940456E-2</c:v>
                </c:pt>
                <c:pt idx="29">
                  <c:v>6.1849534053794245E-3</c:v>
                </c:pt>
                <c:pt idx="30">
                  <c:v>2.9718730700792209E-3</c:v>
                </c:pt>
                <c:pt idx="31">
                  <c:v>1.3112229080169098E-3</c:v>
                </c:pt>
                <c:pt idx="32">
                  <c:v>5.3593487903405579E-4</c:v>
                </c:pt>
                <c:pt idx="33">
                  <c:v>2.0451693792803653E-4</c:v>
                </c:pt>
                <c:pt idx="34">
                  <c:v>7.3373227384812372E-5</c:v>
                </c:pt>
                <c:pt idx="35">
                  <c:v>2.4900867843622715E-5</c:v>
                </c:pt>
                <c:pt idx="36">
                  <c:v>8.0380887222050147E-6</c:v>
                </c:pt>
                <c:pt idx="37">
                  <c:v>2.4810505905076412E-6</c:v>
                </c:pt>
                <c:pt idx="38">
                  <c:v>7.4259930316961444E-7</c:v>
                </c:pt>
                <c:pt idx="39">
                  <c:v>2.658792962813424E-7</c:v>
                </c:pt>
                <c:pt idx="40">
                  <c:v>3.9009593214889944E-7</c:v>
                </c:pt>
                <c:pt idx="41">
                  <c:v>1.6750155174869327E-6</c:v>
                </c:pt>
                <c:pt idx="42">
                  <c:v>7.0781842558528101E-6</c:v>
                </c:pt>
                <c:pt idx="43">
                  <c:v>2.5996079500720951E-5</c:v>
                </c:pt>
                <c:pt idx="44">
                  <c:v>8.3122822771085374E-5</c:v>
                </c:pt>
                <c:pt idx="45">
                  <c:v>2.3330599508382277E-4</c:v>
                </c:pt>
                <c:pt idx="46">
                  <c:v>5.794081254628053E-4</c:v>
                </c:pt>
                <c:pt idx="47">
                  <c:v>1.2826339140486608E-3</c:v>
                </c:pt>
                <c:pt idx="48">
                  <c:v>2.5482770722803907E-3</c:v>
                </c:pt>
                <c:pt idx="49">
                  <c:v>4.5726084811750353E-3</c:v>
                </c:pt>
                <c:pt idx="50">
                  <c:v>7.4542426485730909E-3</c:v>
                </c:pt>
                <c:pt idx="51">
                  <c:v>1.1100245154032974E-2</c:v>
                </c:pt>
                <c:pt idx="52">
                  <c:v>1.5175851292232366E-2</c:v>
                </c:pt>
                <c:pt idx="53">
                  <c:v>1.9138839193936118E-2</c:v>
                </c:pt>
                <c:pt idx="54">
                  <c:v>2.2363108431914764E-2</c:v>
                </c:pt>
                <c:pt idx="55">
                  <c:v>2.4310151684254419E-2</c:v>
                </c:pt>
                <c:pt idx="56">
                  <c:v>2.4680285356325972E-2</c:v>
                </c:pt>
                <c:pt idx="57">
                  <c:v>2.3484446345236162E-2</c:v>
                </c:pt>
                <c:pt idx="58">
                  <c:v>2.1015500953887632E-2</c:v>
                </c:pt>
                <c:pt idx="59">
                  <c:v>1.7741843012856431E-2</c:v>
                </c:pt>
                <c:pt idx="60">
                  <c:v>1.4172393308448699E-2</c:v>
                </c:pt>
                <c:pt idx="61">
                  <c:v>1.0741897572384173E-2</c:v>
                </c:pt>
                <c:pt idx="62">
                  <c:v>7.7454695752609071E-3</c:v>
                </c:pt>
                <c:pt idx="63">
                  <c:v>5.3261329590829267E-3</c:v>
                </c:pt>
                <c:pt idx="64">
                  <c:v>3.5009033682542583E-3</c:v>
                </c:pt>
                <c:pt idx="65">
                  <c:v>2.2044520898718677E-3</c:v>
                </c:pt>
                <c:pt idx="66">
                  <c:v>1.3325036301853309E-3</c:v>
                </c:pt>
                <c:pt idx="67">
                  <c:v>7.7469013427206566E-4</c:v>
                </c:pt>
                <c:pt idx="68">
                  <c:v>4.3398782490660959E-4</c:v>
                </c:pt>
                <c:pt idx="69">
                  <c:v>2.34677477054436E-4</c:v>
                </c:pt>
                <c:pt idx="70">
                  <c:v>1.2269401603967131E-4</c:v>
                </c:pt>
                <c:pt idx="71">
                  <c:v>6.2116816825808462E-5</c:v>
                </c:pt>
                <c:pt idx="72">
                  <c:v>3.0497839521510526E-5</c:v>
                </c:pt>
                <c:pt idx="73">
                  <c:v>1.4541640883963143E-5</c:v>
                </c:pt>
                <c:pt idx="74">
                  <c:v>6.7442096353404573E-6</c:v>
                </c:pt>
                <c:pt idx="75">
                  <c:v>3.0666049554555092E-6</c:v>
                </c:pt>
                <c:pt idx="76">
                  <c:v>1.5547013993717469E-6</c:v>
                </c:pt>
                <c:pt idx="77">
                  <c:v>2.2000546927366793E-6</c:v>
                </c:pt>
                <c:pt idx="78">
                  <c:v>1.0160204502790835E-5</c:v>
                </c:pt>
                <c:pt idx="79">
                  <c:v>4.9450389089017362E-5</c:v>
                </c:pt>
                <c:pt idx="80">
                  <c:v>2.0165983618064781E-4</c:v>
                </c:pt>
                <c:pt idx="81">
                  <c:v>6.8116190737041048E-4</c:v>
                </c:pt>
                <c:pt idx="82">
                  <c:v>1.915840981999184E-3</c:v>
                </c:pt>
                <c:pt idx="83">
                  <c:v>4.5154115805045442E-3</c:v>
                </c:pt>
                <c:pt idx="84">
                  <c:v>8.9731682291269172E-3</c:v>
                </c:pt>
                <c:pt idx="85">
                  <c:v>1.5124356585827389E-2</c:v>
                </c:pt>
                <c:pt idx="86">
                  <c:v>2.1744731768087524E-2</c:v>
                </c:pt>
                <c:pt idx="87">
                  <c:v>2.6812490140988531E-2</c:v>
                </c:pt>
                <c:pt idx="88">
                  <c:v>2.8502821149312185E-2</c:v>
                </c:pt>
                <c:pt idx="89">
                  <c:v>2.625273593093275E-2</c:v>
                </c:pt>
                <c:pt idx="90">
                  <c:v>2.1051217736519096E-2</c:v>
                </c:pt>
                <c:pt idx="91">
                  <c:v>1.4763578287350294E-2</c:v>
                </c:pt>
                <c:pt idx="92">
                  <c:v>9.0956492821711726E-3</c:v>
                </c:pt>
                <c:pt idx="93">
                  <c:v>4.9436005218094509E-3</c:v>
                </c:pt>
                <c:pt idx="94">
                  <c:v>2.3800618678270634E-3</c:v>
                </c:pt>
                <c:pt idx="95">
                  <c:v>1.0189834826617159E-3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D-EC4E-8713-DD169D3C2068}"/>
            </c:ext>
          </c:extLst>
        </c:ser>
        <c:ser>
          <c:idx val="1"/>
          <c:order val="1"/>
          <c:tx>
            <c:strRef>
              <c:f>'Industrie-3'!$J$8</c:f>
              <c:strCache>
                <c:ptCount val="1"/>
                <c:pt idx="0">
                  <c:v>Dienstag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'Industrie-3'!$H$9:$H$104</c:f>
              <c:numCache>
                <c:formatCode>[$-F400]h:mm:ss\ AM/PM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'Industrie-3'!$J$9:$J$104</c:f>
              <c:numCache>
                <c:formatCode>0.00%</c:formatCode>
                <c:ptCount val="96"/>
                <c:pt idx="0">
                  <c:v>0</c:v>
                </c:pt>
                <c:pt idx="1">
                  <c:v>6.626085464841429E-220</c:v>
                </c:pt>
                <c:pt idx="2">
                  <c:v>5.7052604692284831E-135</c:v>
                </c:pt>
                <c:pt idx="3">
                  <c:v>5.8516077675773475E-95</c:v>
                </c:pt>
                <c:pt idx="4">
                  <c:v>6.6909016176631544E-71</c:v>
                </c:pt>
                <c:pt idx="5">
                  <c:v>1.0263033702857746E-54</c:v>
                </c:pt>
                <c:pt idx="6">
                  <c:v>4.2733493841079769E-43</c:v>
                </c:pt>
                <c:pt idx="7">
                  <c:v>2.1311923636758709E-34</c:v>
                </c:pt>
                <c:pt idx="8">
                  <c:v>1.0687706914511082E-27</c:v>
                </c:pt>
                <c:pt idx="9">
                  <c:v>1.9777255322383882E-22</c:v>
                </c:pt>
                <c:pt idx="10">
                  <c:v>3.1432970019320282E-18</c:v>
                </c:pt>
                <c:pt idx="11">
                  <c:v>7.6301961232582534E-15</c:v>
                </c:pt>
                <c:pt idx="12">
                  <c:v>4.2506203764103237E-12</c:v>
                </c:pt>
                <c:pt idx="13">
                  <c:v>7.312959233774998E-10</c:v>
                </c:pt>
                <c:pt idx="14">
                  <c:v>4.8518651459898137E-8</c:v>
                </c:pt>
                <c:pt idx="15">
                  <c:v>1.470924264584215E-6</c:v>
                </c:pt>
                <c:pt idx="16">
                  <c:v>2.3252794399555591E-5</c:v>
                </c:pt>
                <c:pt idx="17">
                  <c:v>2.1275692940841585E-4</c:v>
                </c:pt>
                <c:pt idx="18">
                  <c:v>1.224994009219392E-3</c:v>
                </c:pt>
                <c:pt idx="19">
                  <c:v>4.7498951217017429E-3</c:v>
                </c:pt>
                <c:pt idx="20">
                  <c:v>1.3112509193050596E-2</c:v>
                </c:pt>
                <c:pt idx="21">
                  <c:v>2.6985572556239019E-2</c:v>
                </c:pt>
                <c:pt idx="22">
                  <c:v>4.3024297416859036E-2</c:v>
                </c:pt>
                <c:pt idx="23">
                  <c:v>5.4888079678978387E-2</c:v>
                </c:pt>
                <c:pt idx="24">
                  <c:v>5.7587332498093911E-2</c:v>
                </c:pt>
                <c:pt idx="25">
                  <c:v>5.0864176045089492E-2</c:v>
                </c:pt>
                <c:pt idx="26">
                  <c:v>3.8587105310546946E-2</c:v>
                </c:pt>
                <c:pt idx="27">
                  <c:v>2.5581704078144352E-2</c:v>
                </c:pt>
                <c:pt idx="28">
                  <c:v>1.5044768717066302E-2</c:v>
                </c:pt>
                <c:pt idx="29">
                  <c:v>7.9520829497735472E-3</c:v>
                </c:pt>
                <c:pt idx="30">
                  <c:v>3.8209796615304272E-3</c:v>
                </c:pt>
                <c:pt idx="31">
                  <c:v>1.6858580245931701E-3</c:v>
                </c:pt>
                <c:pt idx="32">
                  <c:v>6.8905913018664315E-4</c:v>
                </c:pt>
                <c:pt idx="33">
                  <c:v>2.6295034876461839E-4</c:v>
                </c:pt>
                <c:pt idx="34">
                  <c:v>9.4337006637615901E-5</c:v>
                </c:pt>
                <c:pt idx="35">
                  <c:v>3.2015401513229211E-5</c:v>
                </c:pt>
                <c:pt idx="36">
                  <c:v>1.0334685499977875E-5</c:v>
                </c:pt>
                <c:pt idx="37">
                  <c:v>3.1899221877955391E-6</c:v>
                </c:pt>
                <c:pt idx="38">
                  <c:v>9.5477053264664718E-7</c:v>
                </c:pt>
                <c:pt idx="39">
                  <c:v>3.4184480950458311E-7</c:v>
                </c:pt>
                <c:pt idx="40">
                  <c:v>5.0155191276287074E-7</c:v>
                </c:pt>
                <c:pt idx="41">
                  <c:v>2.1535913796260566E-6</c:v>
                </c:pt>
                <c:pt idx="42">
                  <c:v>9.1005226146678986E-6</c:v>
                </c:pt>
                <c:pt idx="43">
                  <c:v>3.3423530786641224E-5</c:v>
                </c:pt>
                <c:pt idx="44">
                  <c:v>1.068722007056812E-4</c:v>
                </c:pt>
                <c:pt idx="45">
                  <c:v>2.9996485082205788E-4</c:v>
                </c:pt>
                <c:pt idx="46">
                  <c:v>7.4495330416646406E-4</c:v>
                </c:pt>
                <c:pt idx="47">
                  <c:v>1.6491007466339926E-3</c:v>
                </c:pt>
                <c:pt idx="48">
                  <c:v>3.2763562357890743E-3</c:v>
                </c:pt>
                <c:pt idx="49">
                  <c:v>5.8790680472250454E-3</c:v>
                </c:pt>
                <c:pt idx="50">
                  <c:v>9.5840262624511188E-3</c:v>
                </c:pt>
                <c:pt idx="51">
                  <c:v>1.4271743769470968E-2</c:v>
                </c:pt>
                <c:pt idx="52">
                  <c:v>1.9511808804298758E-2</c:v>
                </c:pt>
                <c:pt idx="53">
                  <c:v>2.4607078963632151E-2</c:v>
                </c:pt>
                <c:pt idx="54">
                  <c:v>2.8752567983890413E-2</c:v>
                </c:pt>
                <c:pt idx="55">
                  <c:v>3.1255909308327112E-2</c:v>
                </c:pt>
                <c:pt idx="56">
                  <c:v>3.1731795458133392E-2</c:v>
                </c:pt>
                <c:pt idx="57">
                  <c:v>3.0194288158160779E-2</c:v>
                </c:pt>
                <c:pt idx="58">
                  <c:v>2.701992979785553E-2</c:v>
                </c:pt>
                <c:pt idx="59">
                  <c:v>2.2810941016529702E-2</c:v>
                </c:pt>
                <c:pt idx="60">
                  <c:v>1.8221648539434043E-2</c:v>
                </c:pt>
                <c:pt idx="61">
                  <c:v>1.3811011164493939E-2</c:v>
                </c:pt>
                <c:pt idx="62">
                  <c:v>9.9584608824783098E-3</c:v>
                </c:pt>
                <c:pt idx="63">
                  <c:v>6.8478852331066205E-3</c:v>
                </c:pt>
                <c:pt idx="64">
                  <c:v>4.5011614734697617E-3</c:v>
                </c:pt>
                <c:pt idx="65">
                  <c:v>2.8342955441209732E-3</c:v>
                </c:pt>
                <c:pt idx="66">
                  <c:v>1.7132189530954256E-3</c:v>
                </c:pt>
                <c:pt idx="67">
                  <c:v>9.9603017263551305E-4</c:v>
                </c:pt>
                <c:pt idx="68">
                  <c:v>5.5798434630849813E-4</c:v>
                </c:pt>
                <c:pt idx="69">
                  <c:v>3.0172818478427487E-4</c:v>
                </c:pt>
                <c:pt idx="70">
                  <c:v>1.5774944919386312E-4</c:v>
                </c:pt>
                <c:pt idx="71">
                  <c:v>7.9864478776039464E-5</c:v>
                </c:pt>
                <c:pt idx="72">
                  <c:v>3.9211507956227822E-5</c:v>
                </c:pt>
                <c:pt idx="73">
                  <c:v>1.8696395422238327E-5</c:v>
                </c:pt>
                <c:pt idx="74">
                  <c:v>8.6711266740091614E-6</c:v>
                </c:pt>
                <c:pt idx="75">
                  <c:v>3.9427777998713693E-6</c:v>
                </c:pt>
                <c:pt idx="76">
                  <c:v>1.9989017991922463E-6</c:v>
                </c:pt>
                <c:pt idx="77">
                  <c:v>2.8286417478043025E-6</c:v>
                </c:pt>
                <c:pt idx="78">
                  <c:v>1.306312007501679E-5</c:v>
                </c:pt>
                <c:pt idx="79">
                  <c:v>6.3579071685879477E-5</c:v>
                </c:pt>
                <c:pt idx="80">
                  <c:v>2.5927693223226151E-4</c:v>
                </c:pt>
                <c:pt idx="81">
                  <c:v>8.7577959519052776E-4</c:v>
                </c:pt>
                <c:pt idx="82">
                  <c:v>2.4632241197132371E-3</c:v>
                </c:pt>
                <c:pt idx="83">
                  <c:v>5.8055291749344136E-3</c:v>
                </c:pt>
                <c:pt idx="84">
                  <c:v>1.1536930580306038E-2</c:v>
                </c:pt>
                <c:pt idx="85">
                  <c:v>1.9445601324635218E-2</c:v>
                </c:pt>
                <c:pt idx="86">
                  <c:v>2.7957512273255391E-2</c:v>
                </c:pt>
                <c:pt idx="87">
                  <c:v>3.4473201609842401E-2</c:v>
                </c:pt>
                <c:pt idx="88">
                  <c:v>3.6646484334829955E-2</c:v>
                </c:pt>
                <c:pt idx="89">
                  <c:v>3.3753517625484966E-2</c:v>
                </c:pt>
                <c:pt idx="90">
                  <c:v>2.7065851375524554E-2</c:v>
                </c:pt>
                <c:pt idx="91">
                  <c:v>1.8981743512307522E-2</c:v>
                </c:pt>
                <c:pt idx="92">
                  <c:v>1.1694406219934367E-2</c:v>
                </c:pt>
                <c:pt idx="93">
                  <c:v>6.3560578137550096E-3</c:v>
                </c:pt>
                <c:pt idx="94">
                  <c:v>3.0600795443490821E-3</c:v>
                </c:pt>
                <c:pt idx="95">
                  <c:v>1.3101216205650633E-3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D-EC4E-8713-DD169D3C2068}"/>
            </c:ext>
          </c:extLst>
        </c:ser>
        <c:ser>
          <c:idx val="2"/>
          <c:order val="2"/>
          <c:tx>
            <c:strRef>
              <c:f>'Industrie-3'!$K$8</c:f>
              <c:strCache>
                <c:ptCount val="1"/>
                <c:pt idx="0">
                  <c:v>Mittwoch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'Industrie-3'!$H$9:$H$104</c:f>
              <c:numCache>
                <c:formatCode>[$-F400]h:mm:ss\ AM/PM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'Industrie-3'!$K$9:$K$104</c:f>
              <c:numCache>
                <c:formatCode>0.00%</c:formatCode>
                <c:ptCount val="96"/>
                <c:pt idx="0">
                  <c:v>0</c:v>
                </c:pt>
                <c:pt idx="1">
                  <c:v>6.9942013239992855E-220</c:v>
                </c:pt>
                <c:pt idx="2">
                  <c:v>6.0222193841856213E-135</c:v>
                </c:pt>
                <c:pt idx="3">
                  <c:v>6.1766970879983113E-95</c:v>
                </c:pt>
                <c:pt idx="4">
                  <c:v>7.0626183741999952E-71</c:v>
                </c:pt>
                <c:pt idx="5">
                  <c:v>1.0833202241905399E-54</c:v>
                </c:pt>
                <c:pt idx="6">
                  <c:v>4.5107576832250866E-43</c:v>
                </c:pt>
                <c:pt idx="7">
                  <c:v>2.2495919394356414E-34</c:v>
                </c:pt>
                <c:pt idx="8">
                  <c:v>1.1281468409761696E-27</c:v>
                </c:pt>
                <c:pt idx="9">
                  <c:v>2.0875991729182986E-22</c:v>
                </c:pt>
                <c:pt idx="10">
                  <c:v>3.3179246131504737E-18</c:v>
                </c:pt>
                <c:pt idx="11">
                  <c:v>8.0540959078837122E-15</c:v>
                </c:pt>
                <c:pt idx="12">
                  <c:v>4.4867659528775638E-12</c:v>
                </c:pt>
                <c:pt idx="13">
                  <c:v>7.7192347467624971E-10</c:v>
                </c:pt>
                <c:pt idx="14">
                  <c:v>5.1214132096559142E-8</c:v>
                </c:pt>
                <c:pt idx="15">
                  <c:v>1.5526422792833379E-6</c:v>
                </c:pt>
                <c:pt idx="16">
                  <c:v>2.4544616310642011E-5</c:v>
                </c:pt>
                <c:pt idx="17">
                  <c:v>2.2457675881999451E-4</c:v>
                </c:pt>
                <c:pt idx="18">
                  <c:v>1.2930492319538026E-3</c:v>
                </c:pt>
                <c:pt idx="19">
                  <c:v>5.0137781840185061E-3</c:v>
                </c:pt>
                <c:pt idx="20">
                  <c:v>1.384098192599785E-2</c:v>
                </c:pt>
                <c:pt idx="21">
                  <c:v>2.8484771031585629E-2</c:v>
                </c:pt>
                <c:pt idx="22">
                  <c:v>4.5414536162240095E-2</c:v>
                </c:pt>
                <c:pt idx="23">
                  <c:v>5.7937417438921626E-2</c:v>
                </c:pt>
                <c:pt idx="24">
                  <c:v>6.0786628747988014E-2</c:v>
                </c:pt>
                <c:pt idx="25">
                  <c:v>5.3689963603150016E-2</c:v>
                </c:pt>
                <c:pt idx="26">
                  <c:v>4.0730833383355106E-2</c:v>
                </c:pt>
                <c:pt idx="27">
                  <c:v>2.7002909860263481E-2</c:v>
                </c:pt>
                <c:pt idx="28">
                  <c:v>1.5880589201347762E-2</c:v>
                </c:pt>
                <c:pt idx="29">
                  <c:v>8.3938653358720753E-3</c:v>
                </c:pt>
                <c:pt idx="30">
                  <c:v>4.0332563093932287E-3</c:v>
                </c:pt>
                <c:pt idx="31">
                  <c:v>1.7795168037372348E-3</c:v>
                </c:pt>
                <c:pt idx="32">
                  <c:v>7.2734019297478994E-4</c:v>
                </c:pt>
                <c:pt idx="33">
                  <c:v>2.7755870147376386E-4</c:v>
                </c:pt>
                <c:pt idx="34">
                  <c:v>9.9577951450816786E-5</c:v>
                </c:pt>
                <c:pt idx="35">
                  <c:v>3.3794034930630832E-5</c:v>
                </c:pt>
                <c:pt idx="36">
                  <c:v>1.0908834694421091E-5</c:v>
                </c:pt>
                <c:pt idx="37">
                  <c:v>3.3671400871175133E-6</c:v>
                </c:pt>
                <c:pt idx="38">
                  <c:v>1.0078133400159054E-6</c:v>
                </c:pt>
                <c:pt idx="39">
                  <c:v>3.6083618781039325E-7</c:v>
                </c:pt>
                <c:pt idx="40">
                  <c:v>5.2941590791636351E-7</c:v>
                </c:pt>
                <c:pt idx="41">
                  <c:v>2.2732353451608375E-6</c:v>
                </c:pt>
                <c:pt idx="42">
                  <c:v>9.606107204371671E-6</c:v>
                </c:pt>
                <c:pt idx="43">
                  <c:v>3.528039360812129E-5</c:v>
                </c:pt>
                <c:pt idx="44">
                  <c:v>1.1280954518933016E-4</c:v>
                </c:pt>
                <c:pt idx="45">
                  <c:v>3.1662956475661666E-4</c:v>
                </c:pt>
                <c:pt idx="46">
                  <c:v>7.8633959884237873E-4</c:v>
                </c:pt>
                <c:pt idx="47">
                  <c:v>1.7407174547803255E-3</c:v>
                </c:pt>
                <c:pt idx="48">
                  <c:v>3.4583760266662447E-3</c:v>
                </c:pt>
                <c:pt idx="49">
                  <c:v>6.2056829387375475E-3</c:v>
                </c:pt>
                <c:pt idx="50">
                  <c:v>1.0116472165920624E-2</c:v>
                </c:pt>
                <c:pt idx="51">
                  <c:v>1.5064618423330465E-2</c:v>
                </c:pt>
                <c:pt idx="52">
                  <c:v>2.0595798182315356E-2</c:v>
                </c:pt>
                <c:pt idx="53">
                  <c:v>2.5974138906056158E-2</c:v>
                </c:pt>
                <c:pt idx="54">
                  <c:v>3.0349932871884321E-2</c:v>
                </c:pt>
                <c:pt idx="55">
                  <c:v>3.2992348714345282E-2</c:v>
                </c:pt>
                <c:pt idx="56">
                  <c:v>3.3494672983585244E-2</c:v>
                </c:pt>
                <c:pt idx="57">
                  <c:v>3.1871748611391935E-2</c:v>
                </c:pt>
                <c:pt idx="58">
                  <c:v>2.8521037008847502E-2</c:v>
                </c:pt>
                <c:pt idx="59">
                  <c:v>2.4078215517448015E-2</c:v>
                </c:pt>
                <c:pt idx="60">
                  <c:v>1.9233962347180378E-2</c:v>
                </c:pt>
                <c:pt idx="61">
                  <c:v>1.4578289562521378E-2</c:v>
                </c:pt>
                <c:pt idx="62">
                  <c:v>1.051170870928266E-2</c:v>
                </c:pt>
                <c:pt idx="63">
                  <c:v>7.228323301612544E-3</c:v>
                </c:pt>
                <c:pt idx="64">
                  <c:v>4.7512259997736367E-3</c:v>
                </c:pt>
                <c:pt idx="65">
                  <c:v>2.9917564076832495E-3</c:v>
                </c:pt>
                <c:pt idx="66">
                  <c:v>1.808397783822949E-3</c:v>
                </c:pt>
                <c:pt idx="67">
                  <c:v>1.0513651822263749E-3</c:v>
                </c:pt>
                <c:pt idx="68">
                  <c:v>5.8898347665897017E-4</c:v>
                </c:pt>
                <c:pt idx="69">
                  <c:v>3.1849086171673458E-4</c:v>
                </c:pt>
                <c:pt idx="70">
                  <c:v>1.6651330748241106E-4</c:v>
                </c:pt>
                <c:pt idx="71">
                  <c:v>8.4301394263597211E-5</c:v>
                </c:pt>
                <c:pt idx="72">
                  <c:v>4.1389925064907142E-5</c:v>
                </c:pt>
                <c:pt idx="73">
                  <c:v>1.9735084056807122E-5</c:v>
                </c:pt>
                <c:pt idx="74">
                  <c:v>9.1528559336763357E-6</c:v>
                </c:pt>
                <c:pt idx="75">
                  <c:v>4.1618210109753342E-6</c:v>
                </c:pt>
                <c:pt idx="76">
                  <c:v>2.1099518991473708E-6</c:v>
                </c:pt>
                <c:pt idx="77">
                  <c:v>2.9857885115712079E-6</c:v>
                </c:pt>
                <c:pt idx="78">
                  <c:v>1.3788848968073277E-5</c:v>
                </c:pt>
                <c:pt idx="79">
                  <c:v>6.7111242335094986E-5</c:v>
                </c:pt>
                <c:pt idx="80">
                  <c:v>2.7368120624516489E-4</c:v>
                </c:pt>
                <c:pt idx="81">
                  <c:v>9.2443401714555702E-4</c:v>
                </c:pt>
                <c:pt idx="82">
                  <c:v>2.6000699041417497E-3</c:v>
                </c:pt>
                <c:pt idx="83">
                  <c:v>6.1280585735418811E-3</c:v>
                </c:pt>
                <c:pt idx="84">
                  <c:v>1.2177871168100816E-2</c:v>
                </c:pt>
                <c:pt idx="85">
                  <c:v>2.052591250933717E-2</c:v>
                </c:pt>
                <c:pt idx="86">
                  <c:v>2.9510707399547354E-2</c:v>
                </c:pt>
                <c:pt idx="87">
                  <c:v>3.6388379477055866E-2</c:v>
                </c:pt>
                <c:pt idx="88">
                  <c:v>3.8682400131209396E-2</c:v>
                </c:pt>
                <c:pt idx="89">
                  <c:v>3.5628713049123018E-2</c:v>
                </c:pt>
                <c:pt idx="90">
                  <c:v>2.8569509785275917E-2</c:v>
                </c:pt>
                <c:pt idx="91">
                  <c:v>2.0036284818546829E-2</c:v>
                </c:pt>
                <c:pt idx="92">
                  <c:v>1.2344095454375164E-2</c:v>
                </c:pt>
                <c:pt idx="93">
                  <c:v>6.7091721367413979E-3</c:v>
                </c:pt>
                <c:pt idx="94">
                  <c:v>3.2300839634795864E-3</c:v>
                </c:pt>
                <c:pt idx="95">
                  <c:v>1.3829061550409002E-3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D-EC4E-8713-DD169D3C2068}"/>
            </c:ext>
          </c:extLst>
        </c:ser>
        <c:ser>
          <c:idx val="3"/>
          <c:order val="3"/>
          <c:tx>
            <c:strRef>
              <c:f>'Industrie-3'!$L$8</c:f>
              <c:strCache>
                <c:ptCount val="1"/>
                <c:pt idx="0">
                  <c:v>Donnerstag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'Industrie-3'!$H$9:$H$104</c:f>
              <c:numCache>
                <c:formatCode>[$-F400]h:mm:ss\ AM/PM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'Industrie-3'!$L$9:$L$104</c:f>
              <c:numCache>
                <c:formatCode>0.00%</c:formatCode>
                <c:ptCount val="96"/>
                <c:pt idx="0">
                  <c:v>0</c:v>
                </c:pt>
                <c:pt idx="1">
                  <c:v>6.626085464841429E-220</c:v>
                </c:pt>
                <c:pt idx="2">
                  <c:v>5.7052604692284831E-135</c:v>
                </c:pt>
                <c:pt idx="3">
                  <c:v>5.8516077675773475E-95</c:v>
                </c:pt>
                <c:pt idx="4">
                  <c:v>6.6909016176631544E-71</c:v>
                </c:pt>
                <c:pt idx="5">
                  <c:v>1.0263033702857746E-54</c:v>
                </c:pt>
                <c:pt idx="6">
                  <c:v>4.2733493841079769E-43</c:v>
                </c:pt>
                <c:pt idx="7">
                  <c:v>2.1311923636758709E-34</c:v>
                </c:pt>
                <c:pt idx="8">
                  <c:v>1.0687706914511082E-27</c:v>
                </c:pt>
                <c:pt idx="9">
                  <c:v>1.9777255322383882E-22</c:v>
                </c:pt>
                <c:pt idx="10">
                  <c:v>3.1432970019320282E-18</c:v>
                </c:pt>
                <c:pt idx="11">
                  <c:v>7.6301961232582534E-15</c:v>
                </c:pt>
                <c:pt idx="12">
                  <c:v>4.2506203764103237E-12</c:v>
                </c:pt>
                <c:pt idx="13">
                  <c:v>7.312959233774998E-10</c:v>
                </c:pt>
                <c:pt idx="14">
                  <c:v>4.8518651459898137E-8</c:v>
                </c:pt>
                <c:pt idx="15">
                  <c:v>1.470924264584215E-6</c:v>
                </c:pt>
                <c:pt idx="16">
                  <c:v>2.3252794399555591E-5</c:v>
                </c:pt>
                <c:pt idx="17">
                  <c:v>2.1275692940841585E-4</c:v>
                </c:pt>
                <c:pt idx="18">
                  <c:v>1.224994009219392E-3</c:v>
                </c:pt>
                <c:pt idx="19">
                  <c:v>4.7498951217017429E-3</c:v>
                </c:pt>
                <c:pt idx="20">
                  <c:v>1.3112509193050596E-2</c:v>
                </c:pt>
                <c:pt idx="21">
                  <c:v>2.6985572556239019E-2</c:v>
                </c:pt>
                <c:pt idx="22">
                  <c:v>4.3024297416859036E-2</c:v>
                </c:pt>
                <c:pt idx="23">
                  <c:v>5.4888079678978387E-2</c:v>
                </c:pt>
                <c:pt idx="24">
                  <c:v>5.7587332498093911E-2</c:v>
                </c:pt>
                <c:pt idx="25">
                  <c:v>5.0864176045089492E-2</c:v>
                </c:pt>
                <c:pt idx="26">
                  <c:v>3.8587105310546946E-2</c:v>
                </c:pt>
                <c:pt idx="27">
                  <c:v>2.5581704078144352E-2</c:v>
                </c:pt>
                <c:pt idx="28">
                  <c:v>1.5044768717066302E-2</c:v>
                </c:pt>
                <c:pt idx="29">
                  <c:v>7.9520829497735472E-3</c:v>
                </c:pt>
                <c:pt idx="30">
                  <c:v>3.8209796615304272E-3</c:v>
                </c:pt>
                <c:pt idx="31">
                  <c:v>1.6858580245931701E-3</c:v>
                </c:pt>
                <c:pt idx="32">
                  <c:v>6.8905913018664315E-4</c:v>
                </c:pt>
                <c:pt idx="33">
                  <c:v>2.6295034876461839E-4</c:v>
                </c:pt>
                <c:pt idx="34">
                  <c:v>9.4337006637615901E-5</c:v>
                </c:pt>
                <c:pt idx="35">
                  <c:v>3.2015401513229211E-5</c:v>
                </c:pt>
                <c:pt idx="36">
                  <c:v>1.0334685499977875E-5</c:v>
                </c:pt>
                <c:pt idx="37">
                  <c:v>3.1899221877955391E-6</c:v>
                </c:pt>
                <c:pt idx="38">
                  <c:v>9.5477053264664718E-7</c:v>
                </c:pt>
                <c:pt idx="39">
                  <c:v>3.4184480950458311E-7</c:v>
                </c:pt>
                <c:pt idx="40">
                  <c:v>5.0155191276287074E-7</c:v>
                </c:pt>
                <c:pt idx="41">
                  <c:v>2.1535913796260566E-6</c:v>
                </c:pt>
                <c:pt idx="42">
                  <c:v>9.1005226146678986E-6</c:v>
                </c:pt>
                <c:pt idx="43">
                  <c:v>3.3423530786641224E-5</c:v>
                </c:pt>
                <c:pt idx="44">
                  <c:v>1.068722007056812E-4</c:v>
                </c:pt>
                <c:pt idx="45">
                  <c:v>2.9996485082205788E-4</c:v>
                </c:pt>
                <c:pt idx="46">
                  <c:v>7.4495330416646406E-4</c:v>
                </c:pt>
                <c:pt idx="47">
                  <c:v>1.6491007466339926E-3</c:v>
                </c:pt>
                <c:pt idx="48">
                  <c:v>3.2763562357890743E-3</c:v>
                </c:pt>
                <c:pt idx="49">
                  <c:v>5.8790680472250454E-3</c:v>
                </c:pt>
                <c:pt idx="50">
                  <c:v>9.5840262624511188E-3</c:v>
                </c:pt>
                <c:pt idx="51">
                  <c:v>1.4271743769470968E-2</c:v>
                </c:pt>
                <c:pt idx="52">
                  <c:v>1.9511808804298758E-2</c:v>
                </c:pt>
                <c:pt idx="53">
                  <c:v>2.4607078963632151E-2</c:v>
                </c:pt>
                <c:pt idx="54">
                  <c:v>2.8752567983890413E-2</c:v>
                </c:pt>
                <c:pt idx="55">
                  <c:v>3.1255909308327112E-2</c:v>
                </c:pt>
                <c:pt idx="56">
                  <c:v>3.1731795458133392E-2</c:v>
                </c:pt>
                <c:pt idx="57">
                  <c:v>3.0194288158160779E-2</c:v>
                </c:pt>
                <c:pt idx="58">
                  <c:v>2.701992979785553E-2</c:v>
                </c:pt>
                <c:pt idx="59">
                  <c:v>2.2810941016529702E-2</c:v>
                </c:pt>
                <c:pt idx="60">
                  <c:v>1.8221648539434043E-2</c:v>
                </c:pt>
                <c:pt idx="61">
                  <c:v>1.3811011164493939E-2</c:v>
                </c:pt>
                <c:pt idx="62">
                  <c:v>9.9584608824783098E-3</c:v>
                </c:pt>
                <c:pt idx="63">
                  <c:v>6.8478852331066205E-3</c:v>
                </c:pt>
                <c:pt idx="64">
                  <c:v>4.5011614734697617E-3</c:v>
                </c:pt>
                <c:pt idx="65">
                  <c:v>2.8342955441209732E-3</c:v>
                </c:pt>
                <c:pt idx="66">
                  <c:v>1.7132189530954256E-3</c:v>
                </c:pt>
                <c:pt idx="67">
                  <c:v>9.9603017263551305E-4</c:v>
                </c:pt>
                <c:pt idx="68">
                  <c:v>5.5798434630849813E-4</c:v>
                </c:pt>
                <c:pt idx="69">
                  <c:v>3.0172818478427487E-4</c:v>
                </c:pt>
                <c:pt idx="70">
                  <c:v>1.5774944919386312E-4</c:v>
                </c:pt>
                <c:pt idx="71">
                  <c:v>7.9864478776039464E-5</c:v>
                </c:pt>
                <c:pt idx="72">
                  <c:v>3.9211507956227822E-5</c:v>
                </c:pt>
                <c:pt idx="73">
                  <c:v>1.8696395422238327E-5</c:v>
                </c:pt>
                <c:pt idx="74">
                  <c:v>8.6711266740091614E-6</c:v>
                </c:pt>
                <c:pt idx="75">
                  <c:v>3.9427777998713693E-6</c:v>
                </c:pt>
                <c:pt idx="76">
                  <c:v>1.9989017991922463E-6</c:v>
                </c:pt>
                <c:pt idx="77">
                  <c:v>2.8286417478043025E-6</c:v>
                </c:pt>
                <c:pt idx="78">
                  <c:v>1.306312007501679E-5</c:v>
                </c:pt>
                <c:pt idx="79">
                  <c:v>6.3579071685879477E-5</c:v>
                </c:pt>
                <c:pt idx="80">
                  <c:v>2.5927693223226151E-4</c:v>
                </c:pt>
                <c:pt idx="81">
                  <c:v>8.7577959519052776E-4</c:v>
                </c:pt>
                <c:pt idx="82">
                  <c:v>2.4632241197132371E-3</c:v>
                </c:pt>
                <c:pt idx="83">
                  <c:v>5.8055291749344136E-3</c:v>
                </c:pt>
                <c:pt idx="84">
                  <c:v>1.1536930580306038E-2</c:v>
                </c:pt>
                <c:pt idx="85">
                  <c:v>1.9445601324635218E-2</c:v>
                </c:pt>
                <c:pt idx="86">
                  <c:v>2.7957512273255391E-2</c:v>
                </c:pt>
                <c:pt idx="87">
                  <c:v>3.4473201609842401E-2</c:v>
                </c:pt>
                <c:pt idx="88">
                  <c:v>3.6646484334829955E-2</c:v>
                </c:pt>
                <c:pt idx="89">
                  <c:v>3.3753517625484966E-2</c:v>
                </c:pt>
                <c:pt idx="90">
                  <c:v>2.7065851375524554E-2</c:v>
                </c:pt>
                <c:pt idx="91">
                  <c:v>1.8981743512307522E-2</c:v>
                </c:pt>
                <c:pt idx="92">
                  <c:v>1.1694406219934367E-2</c:v>
                </c:pt>
                <c:pt idx="93">
                  <c:v>6.3560578137550096E-3</c:v>
                </c:pt>
                <c:pt idx="94">
                  <c:v>3.0600795443490821E-3</c:v>
                </c:pt>
                <c:pt idx="95">
                  <c:v>1.3101216205650633E-3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D-EC4E-8713-DD169D3C2068}"/>
            </c:ext>
          </c:extLst>
        </c:ser>
        <c:ser>
          <c:idx val="4"/>
          <c:order val="4"/>
          <c:tx>
            <c:strRef>
              <c:f>'Industrie-3'!$M$8</c:f>
              <c:strCache>
                <c:ptCount val="1"/>
                <c:pt idx="0">
                  <c:v>Freitag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'Industrie-3'!$H$9:$H$104</c:f>
              <c:numCache>
                <c:formatCode>[$-F400]h:mm:ss\ AM/PM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'Industrie-3'!$M$9:$M$104</c:f>
              <c:numCache>
                <c:formatCode>0.00%</c:formatCode>
                <c:ptCount val="96"/>
                <c:pt idx="0">
                  <c:v>0</c:v>
                </c:pt>
                <c:pt idx="1">
                  <c:v>4.4173903098942852E-220</c:v>
                </c:pt>
                <c:pt idx="2">
                  <c:v>3.8035069794856554E-135</c:v>
                </c:pt>
                <c:pt idx="3">
                  <c:v>3.9010718450515652E-95</c:v>
                </c:pt>
                <c:pt idx="4">
                  <c:v>4.4606010784421021E-71</c:v>
                </c:pt>
                <c:pt idx="5">
                  <c:v>6.8420224685718311E-55</c:v>
                </c:pt>
                <c:pt idx="6">
                  <c:v>2.8488995894053178E-43</c:v>
                </c:pt>
                <c:pt idx="7">
                  <c:v>1.4207949091172474E-34</c:v>
                </c:pt>
                <c:pt idx="8">
                  <c:v>7.1251379430073876E-28</c:v>
                </c:pt>
                <c:pt idx="9">
                  <c:v>1.3184836881589255E-22</c:v>
                </c:pt>
                <c:pt idx="10">
                  <c:v>2.0955313346213519E-18</c:v>
                </c:pt>
                <c:pt idx="11">
                  <c:v>5.0867974155055023E-15</c:v>
                </c:pt>
                <c:pt idx="12">
                  <c:v>2.8337469176068822E-12</c:v>
                </c:pt>
                <c:pt idx="13">
                  <c:v>4.8753061558499983E-10</c:v>
                </c:pt>
                <c:pt idx="14">
                  <c:v>3.2345767639932094E-8</c:v>
                </c:pt>
                <c:pt idx="15">
                  <c:v>9.8061617638947655E-7</c:v>
                </c:pt>
                <c:pt idx="16">
                  <c:v>1.5501862933037058E-5</c:v>
                </c:pt>
                <c:pt idx="17">
                  <c:v>1.4183795293894389E-4</c:v>
                </c:pt>
                <c:pt idx="18">
                  <c:v>8.1666267281292799E-4</c:v>
                </c:pt>
                <c:pt idx="19">
                  <c:v>3.166596747801162E-3</c:v>
                </c:pt>
                <c:pt idx="20">
                  <c:v>8.7416727953670628E-3</c:v>
                </c:pt>
                <c:pt idx="21">
                  <c:v>1.7990381704159345E-2</c:v>
                </c:pt>
                <c:pt idx="22">
                  <c:v>2.868286494457269E-2</c:v>
                </c:pt>
                <c:pt idx="23">
                  <c:v>3.6592053119318922E-2</c:v>
                </c:pt>
                <c:pt idx="24">
                  <c:v>3.8391554998729274E-2</c:v>
                </c:pt>
                <c:pt idx="25">
                  <c:v>3.390945069672633E-2</c:v>
                </c:pt>
                <c:pt idx="26">
                  <c:v>2.5724736873697963E-2</c:v>
                </c:pt>
                <c:pt idx="27">
                  <c:v>1.7054469385429566E-2</c:v>
                </c:pt>
                <c:pt idx="28">
                  <c:v>1.0029845811377535E-2</c:v>
                </c:pt>
                <c:pt idx="29">
                  <c:v>5.3013886331823639E-3</c:v>
                </c:pt>
                <c:pt idx="30">
                  <c:v>2.5473197743536183E-3</c:v>
                </c:pt>
                <c:pt idx="31">
                  <c:v>1.1239053497287799E-3</c:v>
                </c:pt>
                <c:pt idx="32">
                  <c:v>4.593727534577621E-4</c:v>
                </c:pt>
                <c:pt idx="33">
                  <c:v>1.7530023250974559E-4</c:v>
                </c:pt>
                <c:pt idx="34">
                  <c:v>6.28913377584106E-5</c:v>
                </c:pt>
                <c:pt idx="35">
                  <c:v>2.1343601008819473E-5</c:v>
                </c:pt>
                <c:pt idx="36">
                  <c:v>6.8897903333185836E-6</c:v>
                </c:pt>
                <c:pt idx="37">
                  <c:v>2.1266147918636925E-6</c:v>
                </c:pt>
                <c:pt idx="38">
                  <c:v>6.3651368843109812E-7</c:v>
                </c:pt>
                <c:pt idx="39">
                  <c:v>2.2789653966972205E-7</c:v>
                </c:pt>
                <c:pt idx="40">
                  <c:v>3.3436794184191384E-7</c:v>
                </c:pt>
                <c:pt idx="41">
                  <c:v>1.435727586417371E-6</c:v>
                </c:pt>
                <c:pt idx="42">
                  <c:v>6.0670150764452655E-6</c:v>
                </c:pt>
                <c:pt idx="43">
                  <c:v>2.2282353857760816E-5</c:v>
                </c:pt>
                <c:pt idx="44">
                  <c:v>7.1248133803787473E-5</c:v>
                </c:pt>
                <c:pt idx="45">
                  <c:v>1.9997656721470526E-4</c:v>
                </c:pt>
                <c:pt idx="46">
                  <c:v>4.9663553611097597E-4</c:v>
                </c:pt>
                <c:pt idx="47">
                  <c:v>1.099400497755995E-3</c:v>
                </c:pt>
                <c:pt idx="48">
                  <c:v>2.1842374905260494E-3</c:v>
                </c:pt>
                <c:pt idx="49">
                  <c:v>3.9193786981500302E-3</c:v>
                </c:pt>
                <c:pt idx="50">
                  <c:v>6.3893508416340786E-3</c:v>
                </c:pt>
                <c:pt idx="51">
                  <c:v>9.5144958463139768E-3</c:v>
                </c:pt>
                <c:pt idx="52">
                  <c:v>1.3007872536199172E-2</c:v>
                </c:pt>
                <c:pt idx="53">
                  <c:v>1.64047193090881E-2</c:v>
                </c:pt>
                <c:pt idx="54">
                  <c:v>1.9168378655926941E-2</c:v>
                </c:pt>
                <c:pt idx="55">
                  <c:v>2.0837272872218076E-2</c:v>
                </c:pt>
                <c:pt idx="56">
                  <c:v>2.1154530305422262E-2</c:v>
                </c:pt>
                <c:pt idx="57">
                  <c:v>2.0129525438773853E-2</c:v>
                </c:pt>
                <c:pt idx="58">
                  <c:v>1.8013286531903684E-2</c:v>
                </c:pt>
                <c:pt idx="59">
                  <c:v>1.5207294011019799E-2</c:v>
                </c:pt>
                <c:pt idx="60">
                  <c:v>1.2147765692956029E-2</c:v>
                </c:pt>
                <c:pt idx="61">
                  <c:v>9.2073407763292921E-3</c:v>
                </c:pt>
                <c:pt idx="62">
                  <c:v>6.6389739216522062E-3</c:v>
                </c:pt>
                <c:pt idx="63">
                  <c:v>4.5652568220710807E-3</c:v>
                </c:pt>
                <c:pt idx="64">
                  <c:v>3.0007743156465075E-3</c:v>
                </c:pt>
                <c:pt idx="65">
                  <c:v>1.8895303627473154E-3</c:v>
                </c:pt>
                <c:pt idx="66">
                  <c:v>1.1421459687302835E-3</c:v>
                </c:pt>
                <c:pt idx="67">
                  <c:v>6.6402011509034207E-4</c:v>
                </c:pt>
                <c:pt idx="68">
                  <c:v>3.719895642056654E-4</c:v>
                </c:pt>
                <c:pt idx="69">
                  <c:v>2.0115212318951657E-4</c:v>
                </c:pt>
                <c:pt idx="70">
                  <c:v>1.0516629946257541E-4</c:v>
                </c:pt>
                <c:pt idx="71">
                  <c:v>5.3242985850692974E-5</c:v>
                </c:pt>
                <c:pt idx="72">
                  <c:v>2.6141005304151882E-5</c:v>
                </c:pt>
                <c:pt idx="73">
                  <c:v>1.2464263614825552E-5</c:v>
                </c:pt>
                <c:pt idx="74">
                  <c:v>5.780751116006107E-6</c:v>
                </c:pt>
                <c:pt idx="75">
                  <c:v>2.6285185332475794E-6</c:v>
                </c:pt>
                <c:pt idx="76">
                  <c:v>1.3326011994614974E-6</c:v>
                </c:pt>
                <c:pt idx="77">
                  <c:v>1.8857611652028681E-6</c:v>
                </c:pt>
                <c:pt idx="78">
                  <c:v>8.7087467166778591E-6</c:v>
                </c:pt>
                <c:pt idx="79">
                  <c:v>4.2386047790586311E-5</c:v>
                </c:pt>
                <c:pt idx="80">
                  <c:v>1.7285128815484099E-4</c:v>
                </c:pt>
                <c:pt idx="81">
                  <c:v>5.8385306346035184E-4</c:v>
                </c:pt>
                <c:pt idx="82">
                  <c:v>1.6421494131421579E-3</c:v>
                </c:pt>
                <c:pt idx="83">
                  <c:v>3.870352783289609E-3</c:v>
                </c:pt>
                <c:pt idx="84">
                  <c:v>7.6912870535373584E-3</c:v>
                </c:pt>
                <c:pt idx="85">
                  <c:v>1.2963734216423477E-2</c:v>
                </c:pt>
                <c:pt idx="86">
                  <c:v>1.863834151550359E-2</c:v>
                </c:pt>
                <c:pt idx="87">
                  <c:v>2.2982134406561598E-2</c:v>
                </c:pt>
                <c:pt idx="88">
                  <c:v>2.44309895565533E-2</c:v>
                </c:pt>
                <c:pt idx="89">
                  <c:v>2.2502345083656644E-2</c:v>
                </c:pt>
                <c:pt idx="90">
                  <c:v>1.8043900917016371E-2</c:v>
                </c:pt>
                <c:pt idx="91">
                  <c:v>1.2654495674871681E-2</c:v>
                </c:pt>
                <c:pt idx="92">
                  <c:v>7.7962708132895773E-3</c:v>
                </c:pt>
                <c:pt idx="93">
                  <c:v>4.2373718758366725E-3</c:v>
                </c:pt>
                <c:pt idx="94">
                  <c:v>2.0400530295660545E-3</c:v>
                </c:pt>
                <c:pt idx="95">
                  <c:v>8.7341441371004223E-4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3D-EC4E-8713-DD169D3C2068}"/>
            </c:ext>
          </c:extLst>
        </c:ser>
        <c:ser>
          <c:idx val="5"/>
          <c:order val="5"/>
          <c:tx>
            <c:strRef>
              <c:f>'Industrie-3'!$N$8</c:f>
              <c:strCache>
                <c:ptCount val="1"/>
                <c:pt idx="0">
                  <c:v>Samstag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'Industrie-3'!$H$9:$H$104</c:f>
              <c:numCache>
                <c:formatCode>[$-F400]h:mm:ss\ AM/PM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'Industrie-3'!$N$9:$N$104</c:f>
              <c:numCache>
                <c:formatCode>0.00%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3D-EC4E-8713-DD169D3C2068}"/>
            </c:ext>
          </c:extLst>
        </c:ser>
        <c:ser>
          <c:idx val="6"/>
          <c:order val="6"/>
          <c:tx>
            <c:strRef>
              <c:f>'Industrie-3'!$O$8</c:f>
              <c:strCache>
                <c:ptCount val="1"/>
                <c:pt idx="0">
                  <c:v>Sonntag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'Industrie-3'!$H$9:$H$104</c:f>
              <c:numCache>
                <c:formatCode>[$-F400]h:mm:ss\ AM/PM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'Industrie-3'!$O$9:$O$104</c:f>
              <c:numCache>
                <c:formatCode>0.00%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3D-EC4E-8713-DD169D3C2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50079"/>
        <c:axId val="276221759"/>
      </c:lineChart>
      <c:catAx>
        <c:axId val="276750079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76221759"/>
        <c:crosses val="autoZero"/>
        <c:auto val="1"/>
        <c:lblAlgn val="ctr"/>
        <c:lblOffset val="100"/>
        <c:noMultiLvlLbl val="0"/>
      </c:catAx>
      <c:valAx>
        <c:axId val="27622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7675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99</xdr:row>
      <xdr:rowOff>82550</xdr:rowOff>
    </xdr:from>
    <xdr:to>
      <xdr:col>7</xdr:col>
      <xdr:colOff>723900</xdr:colOff>
      <xdr:row>115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C2876D5-5B41-851F-56F1-782D98ED9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99</xdr:row>
      <xdr:rowOff>82550</xdr:rowOff>
    </xdr:from>
    <xdr:to>
      <xdr:col>14</xdr:col>
      <xdr:colOff>812800</xdr:colOff>
      <xdr:row>114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41E0609-AAEB-0D79-F4DE-30CA9C644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76200</xdr:colOff>
      <xdr:row>99</xdr:row>
      <xdr:rowOff>69850</xdr:rowOff>
    </xdr:from>
    <xdr:to>
      <xdr:col>21</xdr:col>
      <xdr:colOff>812800</xdr:colOff>
      <xdr:row>115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00434B9-A127-BC19-19F6-981649FE5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25400</xdr:colOff>
      <xdr:row>7</xdr:row>
      <xdr:rowOff>16932</xdr:rowOff>
    </xdr:from>
    <xdr:to>
      <xdr:col>27</xdr:col>
      <xdr:colOff>609599</xdr:colOff>
      <xdr:row>37</xdr:row>
      <xdr:rowOff>16933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3BBA7B7-F68B-9260-9B9A-0DF924182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12700</xdr:colOff>
      <xdr:row>8</xdr:row>
      <xdr:rowOff>31750</xdr:rowOff>
    </xdr:from>
    <xdr:to>
      <xdr:col>27</xdr:col>
      <xdr:colOff>292100</xdr:colOff>
      <xdr:row>40</xdr:row>
      <xdr:rowOff>101600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D0EC9A3-4F35-FFDB-C74B-C2DD6C210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12700</xdr:colOff>
      <xdr:row>7</xdr:row>
      <xdr:rowOff>19050</xdr:rowOff>
    </xdr:from>
    <xdr:to>
      <xdr:col>25</xdr:col>
      <xdr:colOff>457200</xdr:colOff>
      <xdr:row>38</xdr:row>
      <xdr:rowOff>12700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16A897E-34BC-18A4-ABCC-A64D59CB2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981E6-6F48-7543-8428-19F7E891C9B0}" name="Tabelle1" displayName="Tabelle1" ref="B2:H98" totalsRowShown="0" dataDxfId="25" tableBorderDxfId="24" dataCellStyle="Prozent">
  <autoFilter ref="B2:H98" xr:uid="{485981E6-6F48-7543-8428-19F7E891C9B0}"/>
  <tableColumns count="7">
    <tableColumn id="1" xr3:uid="{3FBB093A-D919-B245-943B-654D72AF0D91}" name="Montag" dataDxfId="23" dataCellStyle="Prozent"/>
    <tableColumn id="2" xr3:uid="{9B19F726-C021-9048-A57F-A8ACE6091D2A}" name="Dienstag" dataDxfId="22" dataCellStyle="Prozent"/>
    <tableColumn id="3" xr3:uid="{28AD9918-30AB-B946-A8AC-7907F918AC63}" name="Mittwoch" dataDxfId="21" dataCellStyle="Prozent"/>
    <tableColumn id="4" xr3:uid="{38051FE2-0229-414A-A84C-97E05C70A04D}" name="Donnerstag" dataDxfId="20" dataCellStyle="Prozent"/>
    <tableColumn id="5" xr3:uid="{E12EC556-C6A4-5D44-BFBD-D2C980FD61A0}" name="Freitag" dataDxfId="19" dataCellStyle="Prozent"/>
    <tableColumn id="6" xr3:uid="{123CC6E2-F5DB-A343-9424-12F8E259E0B7}" name="Samstag" dataDxfId="18" dataCellStyle="Prozent"/>
    <tableColumn id="7" xr3:uid="{D418646A-0589-7945-B1B9-FDD6CA4DF1E5}" name="Sonntag" dataDxfId="17" dataCellStyle="Proz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DCCC6B-68DE-6B49-B997-0F4F35A959C5}" name="Tabelle2" displayName="Tabelle2" ref="I2:O98" totalsRowShown="0" dataDxfId="8" tableBorderDxfId="16" dataCellStyle="Prozent">
  <autoFilter ref="I2:O98" xr:uid="{26DCCC6B-68DE-6B49-B997-0F4F35A959C5}"/>
  <tableColumns count="7">
    <tableColumn id="1" xr3:uid="{EFDE0B65-5450-D743-917E-955F8D5442DA}" name="Montag2" dataDxfId="15" dataCellStyle="Prozent"/>
    <tableColumn id="2" xr3:uid="{4CA9A57E-FA67-804F-91BE-CBDC5580CDE2}" name="Dienstag2" dataDxfId="14" dataCellStyle="Prozent"/>
    <tableColumn id="3" xr3:uid="{2B4DA93A-1EBD-B941-8A14-B42A74743E0A}" name="Mittwoch2" dataDxfId="13" dataCellStyle="Prozent"/>
    <tableColumn id="4" xr3:uid="{254E86AC-ADF2-6F46-9269-33172EE51AC8}" name="Donnerstag2" dataDxfId="12" dataCellStyle="Prozent"/>
    <tableColumn id="5" xr3:uid="{A3A7791D-B85E-C14D-9189-64A25436848D}" name="Freitag2" dataDxfId="11" dataCellStyle="Prozent"/>
    <tableColumn id="6" xr3:uid="{55C0EC94-1127-5740-B68A-A019277896C0}" name="Samstag2" dataDxfId="10" dataCellStyle="Prozent"/>
    <tableColumn id="7" xr3:uid="{1927DCED-618D-604D-914C-D4D203C063A6}" name="Sonntag2" dataDxfId="9" dataCellStyle="Prozen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B35F6F-F349-874E-BA54-65653885E146}" name="Tabelle3" displayName="Tabelle3" ref="P2:V98" totalsRowShown="0" dataDxfId="0" dataCellStyle="Prozent">
  <autoFilter ref="P2:V98" xr:uid="{C8B35F6F-F349-874E-BA54-65653885E146}"/>
  <tableColumns count="7">
    <tableColumn id="1" xr3:uid="{7F709FAD-3085-1049-A16B-548A27F22356}" name="Montag3" dataDxfId="7" dataCellStyle="Prozent"/>
    <tableColumn id="2" xr3:uid="{BE4C513E-FC1C-FE40-B5E9-81FC1455EC58}" name="Dienstag3" dataDxfId="6" dataCellStyle="Prozent"/>
    <tableColumn id="3" xr3:uid="{68DE721F-96EE-7B44-AE10-61BD0C30A534}" name="Mittwoch3" dataDxfId="5" dataCellStyle="Prozent"/>
    <tableColumn id="4" xr3:uid="{1FD14693-9315-E24E-BFFB-5A5DC67F418A}" name="Donnerstag3" dataDxfId="4" dataCellStyle="Prozent"/>
    <tableColumn id="5" xr3:uid="{633D7861-E645-1D4E-8502-3EECA9E28C9B}" name="Freitag3" dataDxfId="3" dataCellStyle="Prozent"/>
    <tableColumn id="6" xr3:uid="{6EA708E4-BCA4-2040-B7F1-E932640ED689}" name="Samstag3" dataDxfId="2" dataCellStyle="Prozent"/>
    <tableColumn id="7" xr3:uid="{D3D726CA-AE08-464C-9238-FB0A4A8F69D1}" name="Sonntag3" dataDxfId="1" dataCellStyle="Proz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FBF4-840E-CC41-A26B-46CFCE56031D}">
  <dimension ref="A1:V98"/>
  <sheetViews>
    <sheetView topLeftCell="C87" workbookViewId="0">
      <selection activeCell="V124" sqref="V124"/>
    </sheetView>
  </sheetViews>
  <sheetFormatPr baseColWidth="10" defaultRowHeight="16" x14ac:dyDescent="0.2"/>
  <cols>
    <col min="4" max="4" width="11.1640625" customWidth="1"/>
    <col min="5" max="5" width="12.83203125" customWidth="1"/>
    <col min="10" max="10" width="11.6640625" customWidth="1"/>
    <col min="11" max="11" width="12.1640625" customWidth="1"/>
    <col min="12" max="12" width="13.83203125" customWidth="1"/>
    <col min="14" max="14" width="11.33203125" customWidth="1"/>
    <col min="15" max="15" width="11" customWidth="1"/>
    <col min="17" max="17" width="11.6640625" customWidth="1"/>
    <col min="18" max="18" width="12.1640625" customWidth="1"/>
    <col min="19" max="19" width="13.83203125" customWidth="1"/>
    <col min="21" max="21" width="11.33203125" customWidth="1"/>
    <col min="22" max="22" width="11" customWidth="1"/>
  </cols>
  <sheetData>
    <row r="1" spans="1:22" ht="17" thickBot="1" x14ac:dyDescent="0.25">
      <c r="B1" s="22" t="s">
        <v>6</v>
      </c>
      <c r="C1" s="23"/>
      <c r="D1" s="23"/>
      <c r="E1" s="23"/>
      <c r="F1" s="23"/>
      <c r="G1" s="23"/>
      <c r="H1" s="24"/>
      <c r="I1" s="25" t="s">
        <v>7</v>
      </c>
      <c r="J1" s="25"/>
      <c r="K1" s="25"/>
      <c r="L1" s="25"/>
      <c r="M1" s="25"/>
      <c r="N1" s="25"/>
      <c r="O1" s="26"/>
      <c r="P1" s="15" t="s">
        <v>8</v>
      </c>
      <c r="Q1" s="13"/>
      <c r="R1" s="13"/>
      <c r="S1" s="13"/>
      <c r="T1" s="13"/>
      <c r="U1" s="13"/>
      <c r="V1" s="14"/>
    </row>
    <row r="2" spans="1:22" ht="17" thickBot="1" x14ac:dyDescent="0.25">
      <c r="A2" s="29" t="s">
        <v>0</v>
      </c>
      <c r="B2" s="1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0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s="4" t="s">
        <v>22</v>
      </c>
      <c r="P2" s="1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s="4" t="s">
        <v>29</v>
      </c>
    </row>
    <row r="3" spans="1:22" x14ac:dyDescent="0.2">
      <c r="A3" s="27">
        <v>0</v>
      </c>
      <c r="B3" s="9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9">
        <v>1.4494504167169948E-3</v>
      </c>
      <c r="J3" s="19">
        <v>1.2078753472641623E-3</v>
      </c>
      <c r="K3" s="19">
        <v>1.4494504167169948E-3</v>
      </c>
      <c r="L3" s="19">
        <v>1.4494504167169948E-3</v>
      </c>
      <c r="M3" s="19">
        <v>1.8118130208962435E-3</v>
      </c>
      <c r="N3" s="19">
        <v>7.247252083584974E-4</v>
      </c>
      <c r="O3" s="19">
        <v>8.4551274308491367E-4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</row>
    <row r="4" spans="1:22" x14ac:dyDescent="0.2">
      <c r="A4" s="27">
        <v>1.0416666666666666E-2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9">
        <v>1.4494504167169948E-3</v>
      </c>
      <c r="J4" s="19">
        <v>1.2078753472641623E-3</v>
      </c>
      <c r="K4" s="19">
        <v>1.4494504167169948E-3</v>
      </c>
      <c r="L4" s="19">
        <v>1.4494504167169948E-3</v>
      </c>
      <c r="M4" s="19">
        <v>1.8118130208962435E-3</v>
      </c>
      <c r="N4" s="19">
        <v>7.247252083584974E-4</v>
      </c>
      <c r="O4" s="19">
        <v>8.4551274308491367E-4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</row>
    <row r="5" spans="1:22" x14ac:dyDescent="0.2">
      <c r="A5" s="27">
        <v>2.0833333333333301E-2</v>
      </c>
      <c r="B5" s="9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9">
        <v>1.4494504167169948E-3</v>
      </c>
      <c r="J5" s="19">
        <v>1.0870878125377461E-3</v>
      </c>
      <c r="K5" s="19">
        <v>1.4494504167169948E-3</v>
      </c>
      <c r="L5" s="19">
        <v>1.4494504167169948E-3</v>
      </c>
      <c r="M5" s="19">
        <v>1.8118130208962435E-3</v>
      </c>
      <c r="N5" s="19">
        <v>6.0393767363208113E-4</v>
      </c>
      <c r="O5" s="19">
        <v>9.6630027781132984E-4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</row>
    <row r="6" spans="1:22" x14ac:dyDescent="0.2">
      <c r="A6" s="27">
        <v>3.125E-2</v>
      </c>
      <c r="B6" s="11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9">
        <v>1.4494504167169948E-3</v>
      </c>
      <c r="J6" s="19">
        <v>1.0870878125377461E-3</v>
      </c>
      <c r="K6" s="19">
        <v>1.4494504167169948E-3</v>
      </c>
      <c r="L6" s="19">
        <v>1.3286628819905786E-3</v>
      </c>
      <c r="M6" s="19">
        <v>1.8118130208962435E-3</v>
      </c>
      <c r="N6" s="19">
        <v>6.0393767363208113E-4</v>
      </c>
      <c r="O6" s="19">
        <v>9.6630027781132984E-4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</row>
    <row r="7" spans="1:22" x14ac:dyDescent="0.2">
      <c r="A7" s="27">
        <v>4.1666666666666699E-2</v>
      </c>
      <c r="B7" s="9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9">
        <v>1.3286628819905786E-3</v>
      </c>
      <c r="J7" s="19">
        <v>1.0870878125377461E-3</v>
      </c>
      <c r="K7" s="19">
        <v>1.3286628819905786E-3</v>
      </c>
      <c r="L7" s="19">
        <v>1.2078753472641623E-3</v>
      </c>
      <c r="M7" s="19">
        <v>1.570237951443411E-3</v>
      </c>
      <c r="N7" s="19">
        <v>6.0393767363208113E-4</v>
      </c>
      <c r="O7" s="19">
        <v>9.6630027781132984E-4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</row>
    <row r="8" spans="1:22" x14ac:dyDescent="0.2">
      <c r="A8" s="27">
        <v>5.2083333333333301E-2</v>
      </c>
      <c r="B8" s="11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9">
        <v>1.3286628819905786E-3</v>
      </c>
      <c r="J8" s="19">
        <v>1.0870878125377461E-3</v>
      </c>
      <c r="K8" s="19">
        <v>1.3286628819905786E-3</v>
      </c>
      <c r="L8" s="19">
        <v>1.2078753472641623E-3</v>
      </c>
      <c r="M8" s="19">
        <v>1.570237951443411E-3</v>
      </c>
      <c r="N8" s="19">
        <v>6.0393767363208113E-4</v>
      </c>
      <c r="O8" s="19">
        <v>9.6630027781132984E-4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</row>
    <row r="9" spans="1:22" x14ac:dyDescent="0.2">
      <c r="A9" s="27">
        <v>6.25E-2</v>
      </c>
      <c r="B9" s="9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9">
        <v>1.3286628819905786E-3</v>
      </c>
      <c r="J9" s="19">
        <v>1.0870878125377461E-3</v>
      </c>
      <c r="K9" s="19">
        <v>1.3286628819905786E-3</v>
      </c>
      <c r="L9" s="19">
        <v>1.0870878125377461E-3</v>
      </c>
      <c r="M9" s="19">
        <v>1.570237951443411E-3</v>
      </c>
      <c r="N9" s="19">
        <v>6.0393767363208113E-4</v>
      </c>
      <c r="O9" s="19">
        <v>9.6630027781132984E-4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</row>
    <row r="10" spans="1:22" x14ac:dyDescent="0.2">
      <c r="A10" s="27">
        <v>7.2916666666666699E-2</v>
      </c>
      <c r="B10" s="11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9">
        <v>1.2078753472641623E-3</v>
      </c>
      <c r="J10" s="19">
        <v>1.0870878125377461E-3</v>
      </c>
      <c r="K10" s="19">
        <v>1.3286628819905786E-3</v>
      </c>
      <c r="L10" s="19">
        <v>1.0870878125377461E-3</v>
      </c>
      <c r="M10" s="19">
        <v>1.3286628819905786E-3</v>
      </c>
      <c r="N10" s="19">
        <v>4.8315013890566492E-4</v>
      </c>
      <c r="O10" s="19">
        <v>9.6630027781132984E-4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</row>
    <row r="11" spans="1:22" x14ac:dyDescent="0.2">
      <c r="A11" s="27">
        <v>8.3333333333333301E-2</v>
      </c>
      <c r="B11" s="9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9">
        <v>1.0870878125377461E-3</v>
      </c>
      <c r="J11" s="19">
        <v>9.6630027781132984E-4</v>
      </c>
      <c r="K11" s="19">
        <v>1.2078753472641623E-3</v>
      </c>
      <c r="L11" s="19">
        <v>1.0870878125377461E-3</v>
      </c>
      <c r="M11" s="19">
        <v>1.3286628819905786E-3</v>
      </c>
      <c r="N11" s="19">
        <v>6.0393767363208113E-4</v>
      </c>
      <c r="O11" s="19">
        <v>1.0870878125377461E-3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</row>
    <row r="12" spans="1:22" x14ac:dyDescent="0.2">
      <c r="A12" s="27">
        <v>9.375E-2</v>
      </c>
      <c r="B12" s="11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9">
        <v>1.0870878125377461E-3</v>
      </c>
      <c r="J12" s="19">
        <v>9.6630027781132984E-4</v>
      </c>
      <c r="K12" s="19">
        <v>1.2078753472641623E-3</v>
      </c>
      <c r="L12" s="19">
        <v>1.0870878125377461E-3</v>
      </c>
      <c r="M12" s="19">
        <v>1.3286628819905786E-3</v>
      </c>
      <c r="N12" s="19">
        <v>6.0393767363208113E-4</v>
      </c>
      <c r="O12" s="19">
        <v>9.6630027781132984E-4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</row>
    <row r="13" spans="1:22" x14ac:dyDescent="0.2">
      <c r="A13" s="27">
        <v>0.104166666666667</v>
      </c>
      <c r="B13" s="9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9">
        <v>1.0870878125377461E-3</v>
      </c>
      <c r="J13" s="19">
        <v>9.6630027781132984E-4</v>
      </c>
      <c r="K13" s="19">
        <v>1.0870878125377461E-3</v>
      </c>
      <c r="L13" s="19">
        <v>1.0870878125377461E-3</v>
      </c>
      <c r="M13" s="19">
        <v>1.3286628819905786E-3</v>
      </c>
      <c r="N13" s="19">
        <v>6.0393767363208113E-4</v>
      </c>
      <c r="O13" s="19">
        <v>9.6630027781132984E-4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</row>
    <row r="14" spans="1:22" x14ac:dyDescent="0.2">
      <c r="A14" s="27">
        <v>0.114583333333333</v>
      </c>
      <c r="B14" s="11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9">
        <v>1.0870878125377461E-3</v>
      </c>
      <c r="J14" s="19">
        <v>9.6630027781132984E-4</v>
      </c>
      <c r="K14" s="19">
        <v>1.0870878125377461E-3</v>
      </c>
      <c r="L14" s="19">
        <v>9.6630027781132984E-4</v>
      </c>
      <c r="M14" s="19">
        <v>1.3286628819905786E-3</v>
      </c>
      <c r="N14" s="19">
        <v>6.0393767363208113E-4</v>
      </c>
      <c r="O14" s="19">
        <v>9.6630027781132984E-4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</row>
    <row r="15" spans="1:22" x14ac:dyDescent="0.2">
      <c r="A15" s="27">
        <v>0.125</v>
      </c>
      <c r="B15" s="9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9">
        <v>1.0870878125377461E-3</v>
      </c>
      <c r="J15" s="19">
        <v>9.6630027781132984E-4</v>
      </c>
      <c r="K15" s="19">
        <v>1.0870878125377461E-3</v>
      </c>
      <c r="L15" s="19">
        <v>9.6630027781132984E-4</v>
      </c>
      <c r="M15" s="19">
        <v>1.2078753472641623E-3</v>
      </c>
      <c r="N15" s="19">
        <v>7.247252083584974E-4</v>
      </c>
      <c r="O15" s="19">
        <v>8.4551274308491367E-4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</row>
    <row r="16" spans="1:22" x14ac:dyDescent="0.2">
      <c r="A16" s="27">
        <v>0.13541666666666699</v>
      </c>
      <c r="B16" s="11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9">
        <v>1.0870878125377461E-3</v>
      </c>
      <c r="J16" s="19">
        <v>9.6630027781132984E-4</v>
      </c>
      <c r="K16" s="19">
        <v>1.0870878125377461E-3</v>
      </c>
      <c r="L16" s="19">
        <v>9.6630027781132984E-4</v>
      </c>
      <c r="M16" s="19">
        <v>1.2078753472641623E-3</v>
      </c>
      <c r="N16" s="19">
        <v>7.247252083584974E-4</v>
      </c>
      <c r="O16" s="19">
        <v>8.4551274308491367E-4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</row>
    <row r="17" spans="1:22" x14ac:dyDescent="0.2">
      <c r="A17" s="27">
        <v>0.14583333333333334</v>
      </c>
      <c r="B17" s="9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9">
        <v>1.0870878125377461E-3</v>
      </c>
      <c r="J17" s="19">
        <v>9.6630027781132984E-4</v>
      </c>
      <c r="K17" s="19">
        <v>1.0870878125377461E-3</v>
      </c>
      <c r="L17" s="19">
        <v>1.0870878125377461E-3</v>
      </c>
      <c r="M17" s="19">
        <v>1.0870878125377461E-3</v>
      </c>
      <c r="N17" s="19">
        <v>7.247252083584974E-4</v>
      </c>
      <c r="O17" s="19">
        <v>8.4551274308491367E-4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</row>
    <row r="18" spans="1:22" x14ac:dyDescent="0.2">
      <c r="A18" s="27">
        <v>0.156250000000002</v>
      </c>
      <c r="B18" s="11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9">
        <v>1.0870878125377461E-3</v>
      </c>
      <c r="J18" s="19">
        <v>1.0870878125377461E-3</v>
      </c>
      <c r="K18" s="19">
        <v>1.0870878125377461E-3</v>
      </c>
      <c r="L18" s="19">
        <v>1.0870878125377461E-3</v>
      </c>
      <c r="M18" s="19">
        <v>1.0870878125377461E-3</v>
      </c>
      <c r="N18" s="19">
        <v>8.4551274308491367E-4</v>
      </c>
      <c r="O18" s="19">
        <v>8.4551274308491367E-4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</row>
    <row r="19" spans="1:22" x14ac:dyDescent="0.2">
      <c r="A19" s="27">
        <v>0.16666666666666899</v>
      </c>
      <c r="B19" s="9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9">
        <v>1.0870878125377461E-3</v>
      </c>
      <c r="J19" s="19">
        <v>1.0870878125377461E-3</v>
      </c>
      <c r="K19" s="19">
        <v>1.0870878125377461E-3</v>
      </c>
      <c r="L19" s="19">
        <v>1.0870878125377461E-3</v>
      </c>
      <c r="M19" s="19">
        <v>9.6630027781132984E-4</v>
      </c>
      <c r="N19" s="19">
        <v>9.6630027781132984E-4</v>
      </c>
      <c r="O19" s="19">
        <v>7.247252083584974E-4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</row>
    <row r="20" spans="1:22" x14ac:dyDescent="0.2">
      <c r="A20" s="27">
        <v>0.17708333333333601</v>
      </c>
      <c r="B20" s="11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9">
        <v>1.0870878125377461E-3</v>
      </c>
      <c r="J20" s="19">
        <v>9.6630027781132984E-4</v>
      </c>
      <c r="K20" s="19">
        <v>9.6630027781132984E-4</v>
      </c>
      <c r="L20" s="19">
        <v>1.0870878125377461E-3</v>
      </c>
      <c r="M20" s="19">
        <v>9.6630027781132984E-4</v>
      </c>
      <c r="N20" s="19">
        <v>9.6630027781132984E-4</v>
      </c>
      <c r="O20" s="19">
        <v>7.247252083584974E-4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</row>
    <row r="21" spans="1:22" x14ac:dyDescent="0.2">
      <c r="A21" s="27">
        <v>0.187500000000003</v>
      </c>
      <c r="B21" s="9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9">
        <v>1.0870878125377461E-3</v>
      </c>
      <c r="J21" s="19">
        <v>9.6630027781132984E-4</v>
      </c>
      <c r="K21" s="19">
        <v>9.6630027781132984E-4</v>
      </c>
      <c r="L21" s="19">
        <v>1.0870878125377461E-3</v>
      </c>
      <c r="M21" s="19">
        <v>9.6630027781132984E-4</v>
      </c>
      <c r="N21" s="19">
        <v>1.0870878125377461E-3</v>
      </c>
      <c r="O21" s="19">
        <v>7.247252083584974E-4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</row>
    <row r="22" spans="1:22" x14ac:dyDescent="0.2">
      <c r="A22" s="27">
        <v>0.19791666666666999</v>
      </c>
      <c r="B22" s="11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9">
        <v>1.0870878125377461E-3</v>
      </c>
      <c r="J22" s="19">
        <v>9.6630027781132984E-4</v>
      </c>
      <c r="K22" s="19">
        <v>9.6630027781132984E-4</v>
      </c>
      <c r="L22" s="19">
        <v>1.2078753472641623E-3</v>
      </c>
      <c r="M22" s="19">
        <v>9.6630027781132984E-4</v>
      </c>
      <c r="N22" s="19">
        <v>1.0870878125377461E-3</v>
      </c>
      <c r="O22" s="19">
        <v>7.247252083584974E-4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</row>
    <row r="23" spans="1:22" x14ac:dyDescent="0.2">
      <c r="A23" s="27">
        <v>0.20833333333333701</v>
      </c>
      <c r="B23" s="9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9">
        <v>9.6630027781132984E-4</v>
      </c>
      <c r="J23" s="19">
        <v>9.6630027781132984E-4</v>
      </c>
      <c r="K23" s="19">
        <v>9.6630027781132984E-4</v>
      </c>
      <c r="L23" s="19">
        <v>1.0870878125377461E-3</v>
      </c>
      <c r="M23" s="19">
        <v>9.6630027781132984E-4</v>
      </c>
      <c r="N23" s="19">
        <v>1.2078753472641623E-3</v>
      </c>
      <c r="O23" s="19">
        <v>7.247252083584974E-4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</row>
    <row r="24" spans="1:22" x14ac:dyDescent="0.2">
      <c r="A24" s="27">
        <v>0.218750000000004</v>
      </c>
      <c r="B24" s="11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9">
        <v>9.6630027781132984E-4</v>
      </c>
      <c r="J24" s="19">
        <v>8.4551274308491367E-4</v>
      </c>
      <c r="K24" s="19">
        <v>9.6630027781132984E-4</v>
      </c>
      <c r="L24" s="19">
        <v>1.2078753472641623E-3</v>
      </c>
      <c r="M24" s="19">
        <v>9.6630027781132984E-4</v>
      </c>
      <c r="N24" s="19">
        <v>1.2078753472641623E-3</v>
      </c>
      <c r="O24" s="19">
        <v>7.247252083584974E-4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</row>
    <row r="25" spans="1:22" x14ac:dyDescent="0.2">
      <c r="A25" s="27">
        <v>0.22916666666667099</v>
      </c>
      <c r="B25" s="9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9">
        <v>9.6630027781132984E-4</v>
      </c>
      <c r="J25" s="19">
        <v>8.4551274308491367E-4</v>
      </c>
      <c r="K25" s="19">
        <v>9.6630027781132984E-4</v>
      </c>
      <c r="L25" s="19">
        <v>1.2078753472641623E-3</v>
      </c>
      <c r="M25" s="19">
        <v>9.6630027781132984E-4</v>
      </c>
      <c r="N25" s="19">
        <v>1.2078753472641623E-3</v>
      </c>
      <c r="O25" s="19">
        <v>7.247252083584974E-4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</row>
    <row r="26" spans="1:22" x14ac:dyDescent="0.2">
      <c r="A26" s="27">
        <v>0.23958333333333801</v>
      </c>
      <c r="B26" s="11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9">
        <v>9.6630027781132984E-4</v>
      </c>
      <c r="J26" s="19">
        <v>8.4551274308491367E-4</v>
      </c>
      <c r="K26" s="19">
        <v>9.6630027781132984E-4</v>
      </c>
      <c r="L26" s="19">
        <v>1.2078753472641623E-3</v>
      </c>
      <c r="M26" s="19">
        <v>9.6630027781132984E-4</v>
      </c>
      <c r="N26" s="19">
        <v>1.2078753472641623E-3</v>
      </c>
      <c r="O26" s="19">
        <v>7.247252083584974E-4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</row>
    <row r="27" spans="1:22" x14ac:dyDescent="0.2">
      <c r="A27" s="27">
        <v>0.250000000000005</v>
      </c>
      <c r="B27" s="9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9">
        <v>9.6630027781132984E-4</v>
      </c>
      <c r="J27" s="19">
        <v>8.4551274308491367E-4</v>
      </c>
      <c r="K27" s="19">
        <v>9.6630027781132984E-4</v>
      </c>
      <c r="L27" s="19">
        <v>1.2078753472641623E-3</v>
      </c>
      <c r="M27" s="19">
        <v>9.6630027781132984E-4</v>
      </c>
      <c r="N27" s="19">
        <v>1.3286628819905786E-3</v>
      </c>
      <c r="O27" s="19">
        <v>8.4551274308491367E-4</v>
      </c>
      <c r="P27" s="18">
        <v>1.9690576652601969E-3</v>
      </c>
      <c r="Q27" s="18">
        <v>1.6877637130801688E-3</v>
      </c>
      <c r="R27" s="18">
        <v>2.5316455696202532E-3</v>
      </c>
      <c r="S27" s="18">
        <v>3.6568213783403658E-3</v>
      </c>
      <c r="T27" s="18">
        <v>2.8129395218002813E-3</v>
      </c>
      <c r="U27" s="18">
        <v>1.4064697609001407E-3</v>
      </c>
      <c r="V27" s="18">
        <v>0</v>
      </c>
    </row>
    <row r="28" spans="1:22" x14ac:dyDescent="0.2">
      <c r="A28" s="27">
        <v>0.26041666666667201</v>
      </c>
      <c r="B28" s="11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9">
        <v>9.6630027781132984E-4</v>
      </c>
      <c r="J28" s="19">
        <v>8.4551274308491367E-4</v>
      </c>
      <c r="K28" s="19">
        <v>9.6630027781132984E-4</v>
      </c>
      <c r="L28" s="19">
        <v>1.2078753472641623E-3</v>
      </c>
      <c r="M28" s="19">
        <v>9.6630027781132984E-4</v>
      </c>
      <c r="N28" s="19">
        <v>1.4494504167169948E-3</v>
      </c>
      <c r="O28" s="19">
        <v>8.4551274308491367E-4</v>
      </c>
      <c r="P28" s="18">
        <v>1.9690576652601969E-3</v>
      </c>
      <c r="Q28" s="18">
        <v>1.6877637130801688E-3</v>
      </c>
      <c r="R28" s="18">
        <v>2.5316455696202532E-3</v>
      </c>
      <c r="S28" s="18">
        <v>3.6568213783403658E-3</v>
      </c>
      <c r="T28" s="18">
        <v>2.8129395218002813E-3</v>
      </c>
      <c r="U28" s="18">
        <v>1.6877637130801688E-3</v>
      </c>
      <c r="V28" s="18">
        <v>0</v>
      </c>
    </row>
    <row r="29" spans="1:22" x14ac:dyDescent="0.2">
      <c r="A29" s="27">
        <v>0.27083333333333898</v>
      </c>
      <c r="B29" s="9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9">
        <v>1.0870878125377461E-3</v>
      </c>
      <c r="J29" s="19">
        <v>7.247252083584974E-4</v>
      </c>
      <c r="K29" s="19">
        <v>9.6630027781132984E-4</v>
      </c>
      <c r="L29" s="19">
        <v>1.3286628819905786E-3</v>
      </c>
      <c r="M29" s="19">
        <v>9.6630027781132984E-4</v>
      </c>
      <c r="N29" s="19">
        <v>1.4494504167169948E-3</v>
      </c>
      <c r="O29" s="19">
        <v>9.6630027781132984E-4</v>
      </c>
      <c r="P29" s="18">
        <v>1.9690576652601969E-3</v>
      </c>
      <c r="Q29" s="18">
        <v>1.6877637130801688E-3</v>
      </c>
      <c r="R29" s="18">
        <v>2.8129395218002813E-3</v>
      </c>
      <c r="S29" s="18">
        <v>3.6568213783403658E-3</v>
      </c>
      <c r="T29" s="18">
        <v>2.8129395218002813E-3</v>
      </c>
      <c r="U29" s="18">
        <v>1.6877637130801688E-3</v>
      </c>
      <c r="V29" s="18">
        <v>0</v>
      </c>
    </row>
    <row r="30" spans="1:22" x14ac:dyDescent="0.2">
      <c r="A30" s="27">
        <v>0.281250000000006</v>
      </c>
      <c r="B30" s="11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9">
        <v>1.0870878125377461E-3</v>
      </c>
      <c r="J30" s="19">
        <v>7.247252083584974E-4</v>
      </c>
      <c r="K30" s="19">
        <v>1.0870878125377461E-3</v>
      </c>
      <c r="L30" s="19">
        <v>1.3286628819905786E-3</v>
      </c>
      <c r="M30" s="19">
        <v>9.6630027781132984E-4</v>
      </c>
      <c r="N30" s="19">
        <v>1.4494504167169948E-3</v>
      </c>
      <c r="O30" s="19">
        <v>9.6630027781132984E-4</v>
      </c>
      <c r="P30" s="18">
        <v>1.9690576652601969E-3</v>
      </c>
      <c r="Q30" s="18">
        <v>1.6877637130801688E-3</v>
      </c>
      <c r="R30" s="18">
        <v>2.8129395218002813E-3</v>
      </c>
      <c r="S30" s="18">
        <v>3.9381153305203939E-3</v>
      </c>
      <c r="T30" s="18">
        <v>3.0942334739803095E-3</v>
      </c>
      <c r="U30" s="18">
        <v>1.6877637130801688E-3</v>
      </c>
      <c r="V30" s="18">
        <v>0</v>
      </c>
    </row>
    <row r="31" spans="1:22" x14ac:dyDescent="0.2">
      <c r="A31" s="27">
        <v>0.29166666666667301</v>
      </c>
      <c r="B31" s="5">
        <v>1.0548523206751054E-3</v>
      </c>
      <c r="C31" s="6">
        <v>1.4064697609001407E-3</v>
      </c>
      <c r="D31" s="6">
        <v>1.4064697609001407E-3</v>
      </c>
      <c r="E31" s="6">
        <v>1.4064697609001407E-3</v>
      </c>
      <c r="F31" s="6">
        <v>1.4064697609001407E-3</v>
      </c>
      <c r="G31" s="6">
        <v>1.4064697609001407E-3</v>
      </c>
      <c r="H31" s="12">
        <v>0</v>
      </c>
      <c r="I31" s="19">
        <v>1.0870878125377461E-3</v>
      </c>
      <c r="J31" s="19">
        <v>8.4551274308491367E-4</v>
      </c>
      <c r="K31" s="19">
        <v>1.0870878125377461E-3</v>
      </c>
      <c r="L31" s="19">
        <v>1.3286628819905786E-3</v>
      </c>
      <c r="M31" s="19">
        <v>1.0870878125377461E-3</v>
      </c>
      <c r="N31" s="19">
        <v>1.570237951443411E-3</v>
      </c>
      <c r="O31" s="19">
        <v>1.0870878125377461E-3</v>
      </c>
      <c r="P31" s="18">
        <v>3.3755274261603376E-3</v>
      </c>
      <c r="Q31" s="18">
        <v>3.3755274261603376E-3</v>
      </c>
      <c r="R31" s="18">
        <v>4.7819971870604779E-3</v>
      </c>
      <c r="S31" s="18">
        <v>5.0632911392405064E-3</v>
      </c>
      <c r="T31" s="18">
        <v>4.2194092827004216E-3</v>
      </c>
      <c r="U31" s="18">
        <v>3.0942334739803095E-3</v>
      </c>
      <c r="V31" s="18">
        <v>0</v>
      </c>
    </row>
    <row r="32" spans="1:22" x14ac:dyDescent="0.2">
      <c r="A32" s="27">
        <v>0.30208333333333998</v>
      </c>
      <c r="B32" s="5">
        <v>1.0548523206751054E-3</v>
      </c>
      <c r="C32" s="6">
        <v>1.4064697609001407E-3</v>
      </c>
      <c r="D32" s="6">
        <v>1.4064697609001407E-3</v>
      </c>
      <c r="E32" s="6">
        <v>1.4064697609001407E-3</v>
      </c>
      <c r="F32" s="6">
        <v>1.4064697609001407E-3</v>
      </c>
      <c r="G32" s="6">
        <v>1.4064697609001407E-3</v>
      </c>
      <c r="H32" s="12">
        <v>0</v>
      </c>
      <c r="I32" s="19">
        <v>1.0870878125377461E-3</v>
      </c>
      <c r="J32" s="19">
        <v>9.6630027781132984E-4</v>
      </c>
      <c r="K32" s="19">
        <v>1.0870878125377461E-3</v>
      </c>
      <c r="L32" s="19">
        <v>1.2078753472641623E-3</v>
      </c>
      <c r="M32" s="19">
        <v>1.0870878125377461E-3</v>
      </c>
      <c r="N32" s="19">
        <v>1.6910254861698273E-3</v>
      </c>
      <c r="O32" s="19">
        <v>1.0870878125377461E-3</v>
      </c>
      <c r="P32" s="18">
        <v>3.3755274261603376E-3</v>
      </c>
      <c r="Q32" s="18">
        <v>3.3755274261603376E-3</v>
      </c>
      <c r="R32" s="18">
        <v>4.7819971870604779E-3</v>
      </c>
      <c r="S32" s="18">
        <v>5.0632911392405064E-3</v>
      </c>
      <c r="T32" s="18">
        <v>4.2194092827004216E-3</v>
      </c>
      <c r="U32" s="18">
        <v>3.0942334739803095E-3</v>
      </c>
      <c r="V32" s="18">
        <v>0</v>
      </c>
    </row>
    <row r="33" spans="1:22" x14ac:dyDescent="0.2">
      <c r="A33" s="27">
        <v>0.31250000000000699</v>
      </c>
      <c r="B33" s="5">
        <v>1.0548523206751054E-3</v>
      </c>
      <c r="C33" s="6">
        <v>1.4064697609001407E-3</v>
      </c>
      <c r="D33" s="6">
        <v>1.4064697609001407E-3</v>
      </c>
      <c r="E33" s="6">
        <v>1.4064697609001407E-3</v>
      </c>
      <c r="F33" s="6">
        <v>1.4064697609001407E-3</v>
      </c>
      <c r="G33" s="6">
        <v>1.4064697609001407E-3</v>
      </c>
      <c r="H33" s="12">
        <v>0</v>
      </c>
      <c r="I33" s="19">
        <v>1.2078753472641623E-3</v>
      </c>
      <c r="J33" s="19">
        <v>9.6630027781132984E-4</v>
      </c>
      <c r="K33" s="19">
        <v>1.0870878125377461E-3</v>
      </c>
      <c r="L33" s="19">
        <v>1.2078753472641623E-3</v>
      </c>
      <c r="M33" s="19">
        <v>1.0870878125377461E-3</v>
      </c>
      <c r="N33" s="19">
        <v>1.6910254861698273E-3</v>
      </c>
      <c r="O33" s="19">
        <v>1.0870878125377461E-3</v>
      </c>
      <c r="P33" s="18">
        <v>3.6568213783403658E-3</v>
      </c>
      <c r="Q33" s="18">
        <v>3.3755274261603376E-3</v>
      </c>
      <c r="R33" s="18">
        <v>4.7819971870604779E-3</v>
      </c>
      <c r="S33" s="18">
        <v>5.3445850914205341E-3</v>
      </c>
      <c r="T33" s="18">
        <v>4.2194092827004216E-3</v>
      </c>
      <c r="U33" s="18">
        <v>3.0942334739803095E-3</v>
      </c>
      <c r="V33" s="18">
        <v>0</v>
      </c>
    </row>
    <row r="34" spans="1:22" x14ac:dyDescent="0.2">
      <c r="A34" s="27">
        <v>0.32291666666667401</v>
      </c>
      <c r="B34" s="5">
        <v>1.0548523206751054E-3</v>
      </c>
      <c r="C34" s="6">
        <v>1.4064697609001407E-3</v>
      </c>
      <c r="D34" s="6">
        <v>1.4064697609001407E-3</v>
      </c>
      <c r="E34" s="6">
        <v>1.4064697609001407E-3</v>
      </c>
      <c r="F34" s="6">
        <v>1.7580872011251757E-3</v>
      </c>
      <c r="G34" s="6">
        <v>1.4064697609001407E-3</v>
      </c>
      <c r="H34" s="12">
        <v>0</v>
      </c>
      <c r="I34" s="19">
        <v>1.2078753472641623E-3</v>
      </c>
      <c r="J34" s="19">
        <v>9.6630027781132984E-4</v>
      </c>
      <c r="K34" s="19">
        <v>1.0870878125377461E-3</v>
      </c>
      <c r="L34" s="19">
        <v>1.2078753472641623E-3</v>
      </c>
      <c r="M34" s="19">
        <v>1.0870878125377461E-3</v>
      </c>
      <c r="N34" s="19">
        <v>1.6910254861698273E-3</v>
      </c>
      <c r="O34" s="19">
        <v>1.0870878125377461E-3</v>
      </c>
      <c r="P34" s="18">
        <v>3.6568213783403658E-3</v>
      </c>
      <c r="Q34" s="18">
        <v>3.6568213783403658E-3</v>
      </c>
      <c r="R34" s="18">
        <v>5.0632911392405064E-3</v>
      </c>
      <c r="S34" s="18">
        <v>5.3445850914205341E-3</v>
      </c>
      <c r="T34" s="18">
        <v>4.2194092827004216E-3</v>
      </c>
      <c r="U34" s="18">
        <v>3.3755274261603376E-3</v>
      </c>
      <c r="V34" s="18">
        <v>0</v>
      </c>
    </row>
    <row r="35" spans="1:22" x14ac:dyDescent="0.2">
      <c r="A35" s="27">
        <v>0.33333333333334098</v>
      </c>
      <c r="B35" s="5">
        <v>1.7580872011251757E-3</v>
      </c>
      <c r="C35" s="6">
        <v>1.7580872011251757E-3</v>
      </c>
      <c r="D35" s="6">
        <v>1.7580872011251757E-3</v>
      </c>
      <c r="E35" s="6">
        <v>1.7580872011251757E-3</v>
      </c>
      <c r="F35" s="6">
        <v>1.7580872011251757E-3</v>
      </c>
      <c r="G35" s="6">
        <v>2.1097046413502108E-3</v>
      </c>
      <c r="H35" s="12">
        <v>0</v>
      </c>
      <c r="I35" s="19">
        <v>1.2078753472641623E-3</v>
      </c>
      <c r="J35" s="19">
        <v>9.6630027781132984E-4</v>
      </c>
      <c r="K35" s="19">
        <v>1.0870878125377461E-3</v>
      </c>
      <c r="L35" s="19">
        <v>1.2078753472641623E-3</v>
      </c>
      <c r="M35" s="19">
        <v>1.2078753472641623E-3</v>
      </c>
      <c r="N35" s="19">
        <v>1.8118130208962435E-3</v>
      </c>
      <c r="O35" s="19">
        <v>1.3286628819905786E-3</v>
      </c>
      <c r="P35" s="18">
        <v>3.6568213783403658E-3</v>
      </c>
      <c r="Q35" s="18">
        <v>4.7819971870604779E-3</v>
      </c>
      <c r="R35" s="18">
        <v>5.6258790436005627E-3</v>
      </c>
      <c r="S35" s="18">
        <v>5.6258790436005627E-3</v>
      </c>
      <c r="T35" s="18">
        <v>4.5007032348804502E-3</v>
      </c>
      <c r="U35" s="18">
        <v>4.2194092827004216E-3</v>
      </c>
      <c r="V35" s="18">
        <v>0</v>
      </c>
    </row>
    <row r="36" spans="1:22" x14ac:dyDescent="0.2">
      <c r="A36" s="27">
        <v>0.34375000000000799</v>
      </c>
      <c r="B36" s="5">
        <v>1.7580872011251757E-3</v>
      </c>
      <c r="C36" s="6">
        <v>1.7580872011251757E-3</v>
      </c>
      <c r="D36" s="6">
        <v>1.7580872011251757E-3</v>
      </c>
      <c r="E36" s="6">
        <v>1.7580872011251757E-3</v>
      </c>
      <c r="F36" s="6">
        <v>1.7580872011251757E-3</v>
      </c>
      <c r="G36" s="6">
        <v>2.1097046413502108E-3</v>
      </c>
      <c r="H36" s="12">
        <v>0</v>
      </c>
      <c r="I36" s="19">
        <v>1.2078753472641623E-3</v>
      </c>
      <c r="J36" s="19">
        <v>9.6630027781132984E-4</v>
      </c>
      <c r="K36" s="19">
        <v>1.0870878125377461E-3</v>
      </c>
      <c r="L36" s="19">
        <v>1.2078753472641623E-3</v>
      </c>
      <c r="M36" s="19">
        <v>1.3286628819905786E-3</v>
      </c>
      <c r="N36" s="19">
        <v>1.8118130208962435E-3</v>
      </c>
      <c r="O36" s="19">
        <v>1.3286628819905786E-3</v>
      </c>
      <c r="P36" s="18">
        <v>3.6568213783403658E-3</v>
      </c>
      <c r="Q36" s="18">
        <v>4.7819971870604779E-3</v>
      </c>
      <c r="R36" s="18">
        <v>5.6258790436005627E-3</v>
      </c>
      <c r="S36" s="18">
        <v>5.6258790436005627E-3</v>
      </c>
      <c r="T36" s="18">
        <v>4.7819971870604779E-3</v>
      </c>
      <c r="U36" s="18">
        <v>4.2194092827004216E-3</v>
      </c>
      <c r="V36" s="18">
        <v>0</v>
      </c>
    </row>
    <row r="37" spans="1:22" x14ac:dyDescent="0.2">
      <c r="A37" s="27">
        <v>0.35416666666667501</v>
      </c>
      <c r="B37" s="5">
        <v>1.7580872011251757E-3</v>
      </c>
      <c r="C37" s="6">
        <v>1.7580872011251757E-3</v>
      </c>
      <c r="D37" s="6">
        <v>1.7580872011251757E-3</v>
      </c>
      <c r="E37" s="6">
        <v>1.7580872011251757E-3</v>
      </c>
      <c r="F37" s="6">
        <v>2.1097046413502108E-3</v>
      </c>
      <c r="G37" s="6">
        <v>2.1097046413502108E-3</v>
      </c>
      <c r="H37" s="12">
        <v>0</v>
      </c>
      <c r="I37" s="19">
        <v>1.3286628819905786E-3</v>
      </c>
      <c r="J37" s="19">
        <v>9.6630027781132984E-4</v>
      </c>
      <c r="K37" s="19">
        <v>1.0870878125377461E-3</v>
      </c>
      <c r="L37" s="19">
        <v>1.3286628819905786E-3</v>
      </c>
      <c r="M37" s="19">
        <v>1.3286628819905786E-3</v>
      </c>
      <c r="N37" s="19">
        <v>1.8118130208962435E-3</v>
      </c>
      <c r="O37" s="19">
        <v>1.3286628819905786E-3</v>
      </c>
      <c r="P37" s="18">
        <v>3.9381153305203939E-3</v>
      </c>
      <c r="Q37" s="18">
        <v>4.7819971870604779E-3</v>
      </c>
      <c r="R37" s="18">
        <v>5.6258790436005627E-3</v>
      </c>
      <c r="S37" s="18">
        <v>5.6258790436005627E-3</v>
      </c>
      <c r="T37" s="18">
        <v>4.7819971870604779E-3</v>
      </c>
      <c r="U37" s="18">
        <v>4.2194092827004216E-3</v>
      </c>
      <c r="V37" s="18">
        <v>0</v>
      </c>
    </row>
    <row r="38" spans="1:22" x14ac:dyDescent="0.2">
      <c r="A38" s="27">
        <v>0.36458333333334197</v>
      </c>
      <c r="B38" s="5">
        <v>1.7580872011251757E-3</v>
      </c>
      <c r="C38" s="6">
        <v>2.1097046413502108E-3</v>
      </c>
      <c r="D38" s="6">
        <v>2.1097046413502108E-3</v>
      </c>
      <c r="E38" s="6">
        <v>2.1097046413502108E-3</v>
      </c>
      <c r="F38" s="6">
        <v>2.1097046413502108E-3</v>
      </c>
      <c r="G38" s="6">
        <v>2.1097046413502108E-3</v>
      </c>
      <c r="H38" s="12">
        <v>0</v>
      </c>
      <c r="I38" s="19">
        <v>1.3286628819905786E-3</v>
      </c>
      <c r="J38" s="19">
        <v>9.6630027781132984E-4</v>
      </c>
      <c r="K38" s="19">
        <v>1.2078753472641623E-3</v>
      </c>
      <c r="L38" s="19">
        <v>1.3286628819905786E-3</v>
      </c>
      <c r="M38" s="19">
        <v>1.3286628819905786E-3</v>
      </c>
      <c r="N38" s="19">
        <v>1.9326005556226597E-3</v>
      </c>
      <c r="O38" s="19">
        <v>1.3286628819905786E-3</v>
      </c>
      <c r="P38" s="18">
        <v>3.9381153305203939E-3</v>
      </c>
      <c r="Q38" s="18">
        <v>5.0632911392405064E-3</v>
      </c>
      <c r="R38" s="18">
        <v>5.6258790436005627E-3</v>
      </c>
      <c r="S38" s="18">
        <v>5.9071729957805904E-3</v>
      </c>
      <c r="T38" s="18">
        <v>4.7819971870604779E-3</v>
      </c>
      <c r="U38" s="18">
        <v>4.2194092827004216E-3</v>
      </c>
      <c r="V38" s="18">
        <v>0</v>
      </c>
    </row>
    <row r="39" spans="1:22" x14ac:dyDescent="0.2">
      <c r="A39" s="27">
        <v>0.37500000000000899</v>
      </c>
      <c r="B39" s="5">
        <v>2.4613220815752463E-3</v>
      </c>
      <c r="C39" s="6">
        <v>2.1097046413502108E-3</v>
      </c>
      <c r="D39" s="6">
        <v>2.1097046413502108E-3</v>
      </c>
      <c r="E39" s="6">
        <v>2.1097046413502108E-3</v>
      </c>
      <c r="F39" s="6">
        <v>2.1097046413502108E-3</v>
      </c>
      <c r="G39" s="6">
        <v>2.8129395218002813E-3</v>
      </c>
      <c r="H39" s="12">
        <v>0</v>
      </c>
      <c r="I39" s="19">
        <v>1.3286628819905786E-3</v>
      </c>
      <c r="J39" s="19">
        <v>1.0870878125377461E-3</v>
      </c>
      <c r="K39" s="19">
        <v>1.0870878125377461E-3</v>
      </c>
      <c r="L39" s="19">
        <v>1.2078753472641623E-3</v>
      </c>
      <c r="M39" s="19">
        <v>1.4494504167169948E-3</v>
      </c>
      <c r="N39" s="19">
        <v>2.0533880903490761E-3</v>
      </c>
      <c r="O39" s="19">
        <v>1.570237951443411E-3</v>
      </c>
      <c r="P39" s="18">
        <v>3.6568213783403658E-3</v>
      </c>
      <c r="Q39" s="18">
        <v>5.9071729957805904E-3</v>
      </c>
      <c r="R39" s="18">
        <v>5.3445850914205341E-3</v>
      </c>
      <c r="S39" s="18">
        <v>6.4697609001406467E-3</v>
      </c>
      <c r="T39" s="18">
        <v>4.7819971870604779E-3</v>
      </c>
      <c r="U39" s="18">
        <v>4.7819971870604779E-3</v>
      </c>
      <c r="V39" s="18">
        <v>0</v>
      </c>
    </row>
    <row r="40" spans="1:22" x14ac:dyDescent="0.2">
      <c r="A40" s="27">
        <v>0.38541666666667601</v>
      </c>
      <c r="B40" s="5">
        <v>2.4613220815752463E-3</v>
      </c>
      <c r="C40" s="6">
        <v>2.1097046413502108E-3</v>
      </c>
      <c r="D40" s="6">
        <v>2.1097046413502108E-3</v>
      </c>
      <c r="E40" s="6">
        <v>2.1097046413502108E-3</v>
      </c>
      <c r="F40" s="6">
        <v>2.1097046413502108E-3</v>
      </c>
      <c r="G40" s="6">
        <v>2.8129395218002813E-3</v>
      </c>
      <c r="H40" s="12">
        <v>0</v>
      </c>
      <c r="I40" s="19">
        <v>1.3286628819905786E-3</v>
      </c>
      <c r="J40" s="19">
        <v>1.0870878125377461E-3</v>
      </c>
      <c r="K40" s="19">
        <v>1.2078753472641623E-3</v>
      </c>
      <c r="L40" s="19">
        <v>1.3286628819905786E-3</v>
      </c>
      <c r="M40" s="19">
        <v>1.4494504167169948E-3</v>
      </c>
      <c r="N40" s="19">
        <v>2.0533880903490761E-3</v>
      </c>
      <c r="O40" s="19">
        <v>1.570237951443411E-3</v>
      </c>
      <c r="P40" s="18">
        <v>3.6568213783403658E-3</v>
      </c>
      <c r="Q40" s="18">
        <v>5.9071729957805904E-3</v>
      </c>
      <c r="R40" s="18">
        <v>5.3445850914205341E-3</v>
      </c>
      <c r="S40" s="18">
        <v>6.7510548523206752E-3</v>
      </c>
      <c r="T40" s="18">
        <v>5.0632911392405064E-3</v>
      </c>
      <c r="U40" s="18">
        <v>4.7819971870604779E-3</v>
      </c>
      <c r="V40" s="18">
        <v>0</v>
      </c>
    </row>
    <row r="41" spans="1:22" x14ac:dyDescent="0.2">
      <c r="A41" s="27">
        <v>0.39583333333334297</v>
      </c>
      <c r="B41" s="5">
        <v>2.4613220815752463E-3</v>
      </c>
      <c r="C41" s="6">
        <v>2.1097046413502108E-3</v>
      </c>
      <c r="D41" s="6">
        <v>2.1097046413502108E-3</v>
      </c>
      <c r="E41" s="6">
        <v>2.1097046413502108E-3</v>
      </c>
      <c r="F41" s="6">
        <v>2.1097046413502108E-3</v>
      </c>
      <c r="G41" s="6">
        <v>2.8129395218002813E-3</v>
      </c>
      <c r="H41" s="12">
        <v>0</v>
      </c>
      <c r="I41" s="19">
        <v>1.4494504167169948E-3</v>
      </c>
      <c r="J41" s="19">
        <v>1.0870878125377461E-3</v>
      </c>
      <c r="K41" s="19">
        <v>1.2078753472641623E-3</v>
      </c>
      <c r="L41" s="19">
        <v>1.3286628819905786E-3</v>
      </c>
      <c r="M41" s="19">
        <v>1.4494504167169948E-3</v>
      </c>
      <c r="N41" s="19">
        <v>2.0533880903490761E-3</v>
      </c>
      <c r="O41" s="19">
        <v>1.570237951443411E-3</v>
      </c>
      <c r="P41" s="18">
        <v>3.6568213783403658E-3</v>
      </c>
      <c r="Q41" s="18">
        <v>5.9071729957805904E-3</v>
      </c>
      <c r="R41" s="18">
        <v>5.0632911392405064E-3</v>
      </c>
      <c r="S41" s="18">
        <v>6.7510548523206752E-3</v>
      </c>
      <c r="T41" s="18">
        <v>5.0632911392405064E-3</v>
      </c>
      <c r="U41" s="18">
        <v>4.7819971870604779E-3</v>
      </c>
      <c r="V41" s="18">
        <v>0</v>
      </c>
    </row>
    <row r="42" spans="1:22" x14ac:dyDescent="0.2">
      <c r="A42" s="27">
        <v>0.40625000000000999</v>
      </c>
      <c r="B42" s="5">
        <v>2.4613220815752463E-3</v>
      </c>
      <c r="C42" s="6">
        <v>2.1097046413502108E-3</v>
      </c>
      <c r="D42" s="6">
        <v>2.1097046413502108E-3</v>
      </c>
      <c r="E42" s="6">
        <v>2.1097046413502108E-3</v>
      </c>
      <c r="F42" s="6">
        <v>2.1097046413502108E-3</v>
      </c>
      <c r="G42" s="6">
        <v>2.8129395218002813E-3</v>
      </c>
      <c r="H42" s="12">
        <v>0</v>
      </c>
      <c r="I42" s="19">
        <v>1.4494504167169948E-3</v>
      </c>
      <c r="J42" s="19">
        <v>1.0870878125377461E-3</v>
      </c>
      <c r="K42" s="19">
        <v>1.2078753472641623E-3</v>
      </c>
      <c r="L42" s="19">
        <v>1.3286628819905786E-3</v>
      </c>
      <c r="M42" s="19">
        <v>1.4494504167169948E-3</v>
      </c>
      <c r="N42" s="19">
        <v>2.0533880903490761E-3</v>
      </c>
      <c r="O42" s="19">
        <v>1.6910254861698273E-3</v>
      </c>
      <c r="P42" s="18">
        <v>3.6568213783403658E-3</v>
      </c>
      <c r="Q42" s="18">
        <v>5.9071729957805904E-3</v>
      </c>
      <c r="R42" s="18">
        <v>5.0632911392405064E-3</v>
      </c>
      <c r="S42" s="18">
        <v>6.7510548523206752E-3</v>
      </c>
      <c r="T42" s="18">
        <v>5.0632911392405064E-3</v>
      </c>
      <c r="U42" s="18">
        <v>4.7819971870604779E-3</v>
      </c>
      <c r="V42" s="18">
        <v>0</v>
      </c>
    </row>
    <row r="43" spans="1:22" x14ac:dyDescent="0.2">
      <c r="A43" s="27">
        <v>0.41666666666667701</v>
      </c>
      <c r="B43" s="5">
        <v>3.1645569620253164E-3</v>
      </c>
      <c r="C43" s="6">
        <v>2.1097046413502108E-3</v>
      </c>
      <c r="D43" s="6">
        <v>2.1097046413502108E-3</v>
      </c>
      <c r="E43" s="6">
        <v>2.1097046413502108E-3</v>
      </c>
      <c r="F43" s="6">
        <v>2.1097046413502108E-3</v>
      </c>
      <c r="G43" s="6">
        <v>3.5161744022503515E-3</v>
      </c>
      <c r="H43" s="12">
        <v>0</v>
      </c>
      <c r="I43" s="19">
        <v>1.4494504167169948E-3</v>
      </c>
      <c r="J43" s="19">
        <v>1.2078753472641623E-3</v>
      </c>
      <c r="K43" s="19">
        <v>1.2078753472641623E-3</v>
      </c>
      <c r="L43" s="19">
        <v>1.3286628819905786E-3</v>
      </c>
      <c r="M43" s="19">
        <v>1.570237951443411E-3</v>
      </c>
      <c r="N43" s="19">
        <v>2.1741756250754922E-3</v>
      </c>
      <c r="O43" s="19">
        <v>1.9326005556226597E-3</v>
      </c>
      <c r="P43" s="18">
        <v>3.0942334739803095E-3</v>
      </c>
      <c r="Q43" s="18">
        <v>5.0632911392405064E-3</v>
      </c>
      <c r="R43" s="18">
        <v>3.9381153305203939E-3</v>
      </c>
      <c r="S43" s="18">
        <v>5.3445850914205341E-3</v>
      </c>
      <c r="T43" s="18">
        <v>4.2194092827004216E-3</v>
      </c>
      <c r="U43" s="18">
        <v>3.9381153305203939E-3</v>
      </c>
      <c r="V43" s="18">
        <v>0</v>
      </c>
    </row>
    <row r="44" spans="1:22" x14ac:dyDescent="0.2">
      <c r="A44" s="27">
        <v>0.42708333333334397</v>
      </c>
      <c r="B44" s="5">
        <v>3.1645569620253164E-3</v>
      </c>
      <c r="C44" s="6">
        <v>2.4613220815752463E-3</v>
      </c>
      <c r="D44" s="6">
        <v>2.4613220815752463E-3</v>
      </c>
      <c r="E44" s="6">
        <v>2.4613220815752463E-3</v>
      </c>
      <c r="F44" s="6">
        <v>2.1097046413502108E-3</v>
      </c>
      <c r="G44" s="6">
        <v>3.5161744022503515E-3</v>
      </c>
      <c r="H44" s="12">
        <v>0</v>
      </c>
      <c r="I44" s="19">
        <v>1.4494504167169948E-3</v>
      </c>
      <c r="J44" s="19">
        <v>1.2078753472641623E-3</v>
      </c>
      <c r="K44" s="19">
        <v>1.2078753472641623E-3</v>
      </c>
      <c r="L44" s="19">
        <v>1.4494504167169948E-3</v>
      </c>
      <c r="M44" s="19">
        <v>1.570237951443411E-3</v>
      </c>
      <c r="N44" s="19">
        <v>2.2949631598019084E-3</v>
      </c>
      <c r="O44" s="19">
        <v>1.9326005556226597E-3</v>
      </c>
      <c r="P44" s="18">
        <v>3.0942334739803095E-3</v>
      </c>
      <c r="Q44" s="18">
        <v>5.0632911392405064E-3</v>
      </c>
      <c r="R44" s="18">
        <v>3.9381153305203939E-3</v>
      </c>
      <c r="S44" s="18">
        <v>5.3445850914205341E-3</v>
      </c>
      <c r="T44" s="18">
        <v>3.9381153305203939E-3</v>
      </c>
      <c r="U44" s="18">
        <v>3.9381153305203939E-3</v>
      </c>
      <c r="V44" s="18">
        <v>0</v>
      </c>
    </row>
    <row r="45" spans="1:22" x14ac:dyDescent="0.2">
      <c r="A45" s="27">
        <v>0.43750000000001099</v>
      </c>
      <c r="B45" s="5">
        <v>3.1645569620253164E-3</v>
      </c>
      <c r="C45" s="6">
        <v>2.4613220815752463E-3</v>
      </c>
      <c r="D45" s="6">
        <v>2.4613220815752463E-3</v>
      </c>
      <c r="E45" s="6">
        <v>2.4613220815752463E-3</v>
      </c>
      <c r="F45" s="6">
        <v>2.1097046413502108E-3</v>
      </c>
      <c r="G45" s="6">
        <v>3.5161744022503515E-3</v>
      </c>
      <c r="H45" s="12">
        <v>0</v>
      </c>
      <c r="I45" s="19">
        <v>1.3286628819905786E-3</v>
      </c>
      <c r="J45" s="19">
        <v>1.2078753472641623E-3</v>
      </c>
      <c r="K45" s="19">
        <v>1.2078753472641623E-3</v>
      </c>
      <c r="L45" s="19">
        <v>1.4494504167169948E-3</v>
      </c>
      <c r="M45" s="19">
        <v>1.570237951443411E-3</v>
      </c>
      <c r="N45" s="19">
        <v>2.2949631598019084E-3</v>
      </c>
      <c r="O45" s="19">
        <v>1.9326005556226597E-3</v>
      </c>
      <c r="P45" s="18">
        <v>3.0942334739803095E-3</v>
      </c>
      <c r="Q45" s="18">
        <v>4.7819971870604779E-3</v>
      </c>
      <c r="R45" s="18">
        <v>3.9381153305203939E-3</v>
      </c>
      <c r="S45" s="18">
        <v>5.0632911392405064E-3</v>
      </c>
      <c r="T45" s="18">
        <v>3.9381153305203939E-3</v>
      </c>
      <c r="U45" s="18">
        <v>3.9381153305203939E-3</v>
      </c>
      <c r="V45" s="18">
        <v>0</v>
      </c>
    </row>
    <row r="46" spans="1:22" x14ac:dyDescent="0.2">
      <c r="A46" s="27">
        <v>0.44791666666667801</v>
      </c>
      <c r="B46" s="5">
        <v>3.1645569620253164E-3</v>
      </c>
      <c r="C46" s="6">
        <v>2.4613220815752463E-3</v>
      </c>
      <c r="D46" s="6">
        <v>2.4613220815752463E-3</v>
      </c>
      <c r="E46" s="6">
        <v>2.4613220815752463E-3</v>
      </c>
      <c r="F46" s="6">
        <v>2.1097046413502108E-3</v>
      </c>
      <c r="G46" s="6">
        <v>3.5161744022503515E-3</v>
      </c>
      <c r="H46" s="12">
        <v>0</v>
      </c>
      <c r="I46" s="19">
        <v>1.3286628819905786E-3</v>
      </c>
      <c r="J46" s="19">
        <v>1.2078753472641623E-3</v>
      </c>
      <c r="K46" s="19">
        <v>1.3286628819905786E-3</v>
      </c>
      <c r="L46" s="19">
        <v>1.4494504167169948E-3</v>
      </c>
      <c r="M46" s="19">
        <v>1.6910254861698273E-3</v>
      </c>
      <c r="N46" s="19">
        <v>2.2949631598019084E-3</v>
      </c>
      <c r="O46" s="19">
        <v>1.9326005556226597E-3</v>
      </c>
      <c r="P46" s="18">
        <v>2.8129395218002813E-3</v>
      </c>
      <c r="Q46" s="18">
        <v>4.7819971870604779E-3</v>
      </c>
      <c r="R46" s="18">
        <v>3.9381153305203939E-3</v>
      </c>
      <c r="S46" s="18">
        <v>5.0632911392405064E-3</v>
      </c>
      <c r="T46" s="18">
        <v>3.9381153305203939E-3</v>
      </c>
      <c r="U46" s="18">
        <v>3.6568213783403658E-3</v>
      </c>
      <c r="V46" s="18">
        <v>0</v>
      </c>
    </row>
    <row r="47" spans="1:22" x14ac:dyDescent="0.2">
      <c r="A47" s="27">
        <v>0.45833333333334503</v>
      </c>
      <c r="B47" s="5">
        <v>3.5161744022503515E-3</v>
      </c>
      <c r="C47" s="6">
        <v>2.4613220815752463E-3</v>
      </c>
      <c r="D47" s="6">
        <v>2.4613220815752463E-3</v>
      </c>
      <c r="E47" s="6">
        <v>2.4613220815752463E-3</v>
      </c>
      <c r="F47" s="6">
        <v>2.1097046413502108E-3</v>
      </c>
      <c r="G47" s="6">
        <v>3.867791842475387E-3</v>
      </c>
      <c r="H47" s="12">
        <v>0</v>
      </c>
      <c r="I47" s="19">
        <v>1.570237951443411E-3</v>
      </c>
      <c r="J47" s="19">
        <v>1.3286628819905786E-3</v>
      </c>
      <c r="K47" s="19">
        <v>1.3286628819905786E-3</v>
      </c>
      <c r="L47" s="19">
        <v>1.570237951443411E-3</v>
      </c>
      <c r="M47" s="19">
        <v>1.9326005556226597E-3</v>
      </c>
      <c r="N47" s="19">
        <v>2.5365382292547407E-3</v>
      </c>
      <c r="O47" s="19">
        <v>2.2949631598019084E-3</v>
      </c>
      <c r="P47" s="18">
        <v>2.2503516174402251E-3</v>
      </c>
      <c r="Q47" s="18">
        <v>3.6568213783403658E-3</v>
      </c>
      <c r="R47" s="18">
        <v>3.3755274261603376E-3</v>
      </c>
      <c r="S47" s="18">
        <v>3.6568213783403658E-3</v>
      </c>
      <c r="T47" s="18">
        <v>2.8129395218002813E-3</v>
      </c>
      <c r="U47" s="18">
        <v>3.0942334739803095E-3</v>
      </c>
      <c r="V47" s="18">
        <v>0</v>
      </c>
    </row>
    <row r="48" spans="1:22" x14ac:dyDescent="0.2">
      <c r="A48" s="27">
        <v>0.46875000000001199</v>
      </c>
      <c r="B48" s="5">
        <v>3.5161744022503515E-3</v>
      </c>
      <c r="C48" s="6">
        <v>2.8129395218002813E-3</v>
      </c>
      <c r="D48" s="6">
        <v>2.8129395218002813E-3</v>
      </c>
      <c r="E48" s="6">
        <v>2.8129395218002813E-3</v>
      </c>
      <c r="F48" s="6">
        <v>2.4613220815752463E-3</v>
      </c>
      <c r="G48" s="6">
        <v>3.867791842475387E-3</v>
      </c>
      <c r="H48" s="12">
        <v>0</v>
      </c>
      <c r="I48" s="19">
        <v>1.570237951443411E-3</v>
      </c>
      <c r="J48" s="19">
        <v>1.3286628819905786E-3</v>
      </c>
      <c r="K48" s="19">
        <v>1.3286628819905786E-3</v>
      </c>
      <c r="L48" s="19">
        <v>1.570237951443411E-3</v>
      </c>
      <c r="M48" s="19">
        <v>1.9326005556226597E-3</v>
      </c>
      <c r="N48" s="19">
        <v>2.5365382292547407E-3</v>
      </c>
      <c r="O48" s="19">
        <v>2.2949631598019084E-3</v>
      </c>
      <c r="P48" s="18">
        <v>2.2503516174402251E-3</v>
      </c>
      <c r="Q48" s="18">
        <v>3.3755274261603376E-3</v>
      </c>
      <c r="R48" s="18">
        <v>3.3755274261603376E-3</v>
      </c>
      <c r="S48" s="18">
        <v>3.6568213783403658E-3</v>
      </c>
      <c r="T48" s="18">
        <v>2.8129395218002813E-3</v>
      </c>
      <c r="U48" s="18">
        <v>2.8129395218002813E-3</v>
      </c>
      <c r="V48" s="18">
        <v>0</v>
      </c>
    </row>
    <row r="49" spans="1:22" x14ac:dyDescent="0.2">
      <c r="A49" s="27">
        <v>0.47916666666667901</v>
      </c>
      <c r="B49" s="5">
        <v>3.5161744022503515E-3</v>
      </c>
      <c r="C49" s="6">
        <v>2.8129395218002813E-3</v>
      </c>
      <c r="D49" s="6">
        <v>2.8129395218002813E-3</v>
      </c>
      <c r="E49" s="6">
        <v>2.8129395218002813E-3</v>
      </c>
      <c r="F49" s="6">
        <v>2.4613220815752463E-3</v>
      </c>
      <c r="G49" s="6">
        <v>3.867791842475387E-3</v>
      </c>
      <c r="H49" s="12">
        <v>0</v>
      </c>
      <c r="I49" s="19">
        <v>1.570237951443411E-3</v>
      </c>
      <c r="J49" s="19">
        <v>1.3286628819905786E-3</v>
      </c>
      <c r="K49" s="19">
        <v>1.3286628819905786E-3</v>
      </c>
      <c r="L49" s="19">
        <v>1.6910254861698273E-3</v>
      </c>
      <c r="M49" s="19">
        <v>1.9326005556226597E-3</v>
      </c>
      <c r="N49" s="19">
        <v>2.5365382292547407E-3</v>
      </c>
      <c r="O49" s="19">
        <v>2.2949631598019084E-3</v>
      </c>
      <c r="P49" s="18">
        <v>2.2503516174402251E-3</v>
      </c>
      <c r="Q49" s="18">
        <v>3.3755274261603376E-3</v>
      </c>
      <c r="R49" s="18">
        <v>3.3755274261603376E-3</v>
      </c>
      <c r="S49" s="18">
        <v>3.6568213783403658E-3</v>
      </c>
      <c r="T49" s="18">
        <v>2.5316455696202532E-3</v>
      </c>
      <c r="U49" s="18">
        <v>2.8129395218002813E-3</v>
      </c>
      <c r="V49" s="18">
        <v>0</v>
      </c>
    </row>
    <row r="50" spans="1:22" x14ac:dyDescent="0.2">
      <c r="A50" s="27">
        <v>0.48958333333334603</v>
      </c>
      <c r="B50" s="5">
        <v>3.5161744022503515E-3</v>
      </c>
      <c r="C50" s="6">
        <v>2.8129395218002813E-3</v>
      </c>
      <c r="D50" s="6">
        <v>2.8129395218002813E-3</v>
      </c>
      <c r="E50" s="6">
        <v>2.8129395218002813E-3</v>
      </c>
      <c r="F50" s="6">
        <v>2.4613220815752463E-3</v>
      </c>
      <c r="G50" s="6">
        <v>3.867791842475387E-3</v>
      </c>
      <c r="H50" s="12">
        <v>0</v>
      </c>
      <c r="I50" s="19">
        <v>1.570237951443411E-3</v>
      </c>
      <c r="J50" s="19">
        <v>1.3286628819905786E-3</v>
      </c>
      <c r="K50" s="19">
        <v>1.3286628819905786E-3</v>
      </c>
      <c r="L50" s="19">
        <v>1.6910254861698273E-3</v>
      </c>
      <c r="M50" s="19">
        <v>1.9326005556226597E-3</v>
      </c>
      <c r="N50" s="19">
        <v>2.6573257639811573E-3</v>
      </c>
      <c r="O50" s="19">
        <v>2.2949631598019084E-3</v>
      </c>
      <c r="P50" s="18">
        <v>2.2503516174402251E-3</v>
      </c>
      <c r="Q50" s="18">
        <v>3.3755274261603376E-3</v>
      </c>
      <c r="R50" s="18">
        <v>3.3755274261603376E-3</v>
      </c>
      <c r="S50" s="18">
        <v>3.3755274261603376E-3</v>
      </c>
      <c r="T50" s="18">
        <v>2.5316455696202532E-3</v>
      </c>
      <c r="U50" s="18">
        <v>2.8129395218002813E-3</v>
      </c>
      <c r="V50" s="18">
        <v>0</v>
      </c>
    </row>
    <row r="51" spans="1:22" x14ac:dyDescent="0.2">
      <c r="A51" s="27">
        <v>0.50000000000001299</v>
      </c>
      <c r="B51" s="5">
        <v>3.867791842475387E-3</v>
      </c>
      <c r="C51" s="6">
        <v>2.8129395218002813E-3</v>
      </c>
      <c r="D51" s="6">
        <v>2.8129395218002813E-3</v>
      </c>
      <c r="E51" s="6">
        <v>2.8129395218002813E-3</v>
      </c>
      <c r="F51" s="6">
        <v>2.8129395218002813E-3</v>
      </c>
      <c r="G51" s="6">
        <v>4.2194092827004216E-3</v>
      </c>
      <c r="H51" s="12">
        <v>0</v>
      </c>
      <c r="I51" s="19">
        <v>1.8118130208962435E-3</v>
      </c>
      <c r="J51" s="19">
        <v>1.3286628819905786E-3</v>
      </c>
      <c r="K51" s="19">
        <v>1.4494504167169948E-3</v>
      </c>
      <c r="L51" s="19">
        <v>1.9326005556226597E-3</v>
      </c>
      <c r="M51" s="19">
        <v>2.2949631598019084E-3</v>
      </c>
      <c r="N51" s="19">
        <v>2.6573257639811573E-3</v>
      </c>
      <c r="O51" s="19">
        <v>2.6573257639811573E-3</v>
      </c>
      <c r="P51" s="18">
        <v>1.9690576652601969E-3</v>
      </c>
      <c r="Q51" s="18">
        <v>1.9690576652601969E-3</v>
      </c>
      <c r="R51" s="18">
        <v>2.2503516174402251E-3</v>
      </c>
      <c r="S51" s="18">
        <v>2.5316455696202532E-3</v>
      </c>
      <c r="T51" s="18">
        <v>1.9690576652601969E-3</v>
      </c>
      <c r="U51" s="18">
        <v>1.4064697609001407E-3</v>
      </c>
      <c r="V51" s="18">
        <v>0</v>
      </c>
    </row>
    <row r="52" spans="1:22" x14ac:dyDescent="0.2">
      <c r="A52" s="27">
        <v>0.51041666666667995</v>
      </c>
      <c r="B52" s="5">
        <v>3.867791842475387E-3</v>
      </c>
      <c r="C52" s="6">
        <v>2.8129395218002813E-3</v>
      </c>
      <c r="D52" s="6">
        <v>2.8129395218002813E-3</v>
      </c>
      <c r="E52" s="6">
        <v>2.8129395218002813E-3</v>
      </c>
      <c r="F52" s="6">
        <v>2.8129395218002813E-3</v>
      </c>
      <c r="G52" s="6">
        <v>4.2194092827004216E-3</v>
      </c>
      <c r="H52" s="12">
        <v>0</v>
      </c>
      <c r="I52" s="19">
        <v>1.8118130208962435E-3</v>
      </c>
      <c r="J52" s="19">
        <v>1.4494504167169948E-3</v>
      </c>
      <c r="K52" s="19">
        <v>1.4494504167169948E-3</v>
      </c>
      <c r="L52" s="19">
        <v>1.9326005556226597E-3</v>
      </c>
      <c r="M52" s="19">
        <v>2.2949631598019084E-3</v>
      </c>
      <c r="N52" s="19">
        <v>2.7781132987075735E-3</v>
      </c>
      <c r="O52" s="19">
        <v>2.6573257639811573E-3</v>
      </c>
      <c r="P52" s="18">
        <v>1.9690576652601969E-3</v>
      </c>
      <c r="Q52" s="18">
        <v>1.9690576652601969E-3</v>
      </c>
      <c r="R52" s="18">
        <v>1.9690576652601969E-3</v>
      </c>
      <c r="S52" s="18">
        <v>2.2503516174402251E-3</v>
      </c>
      <c r="T52" s="18">
        <v>1.6877637130801688E-3</v>
      </c>
      <c r="U52" s="18">
        <v>1.4064697609001407E-3</v>
      </c>
      <c r="V52" s="18">
        <v>0</v>
      </c>
    </row>
    <row r="53" spans="1:22" x14ac:dyDescent="0.2">
      <c r="A53" s="27">
        <v>0.52083333333334703</v>
      </c>
      <c r="B53" s="5">
        <v>3.867791842475387E-3</v>
      </c>
      <c r="C53" s="6">
        <v>2.4613220815752463E-3</v>
      </c>
      <c r="D53" s="6">
        <v>2.4613220815752463E-3</v>
      </c>
      <c r="E53" s="6">
        <v>2.4613220815752463E-3</v>
      </c>
      <c r="F53" s="6">
        <v>2.8129395218002813E-3</v>
      </c>
      <c r="G53" s="6">
        <v>4.2194092827004216E-3</v>
      </c>
      <c r="H53" s="12">
        <v>0</v>
      </c>
      <c r="I53" s="19">
        <v>1.9326005556226597E-3</v>
      </c>
      <c r="J53" s="19">
        <v>1.4494504167169948E-3</v>
      </c>
      <c r="K53" s="19">
        <v>1.570237951443411E-3</v>
      </c>
      <c r="L53" s="19">
        <v>1.9326005556226597E-3</v>
      </c>
      <c r="M53" s="19">
        <v>2.2949631598019084E-3</v>
      </c>
      <c r="N53" s="19">
        <v>2.7781132987075735E-3</v>
      </c>
      <c r="O53" s="19">
        <v>2.6573257639811573E-3</v>
      </c>
      <c r="P53" s="18">
        <v>1.6877637130801688E-3</v>
      </c>
      <c r="Q53" s="18">
        <v>1.9690576652601969E-3</v>
      </c>
      <c r="R53" s="18">
        <v>1.9690576652601969E-3</v>
      </c>
      <c r="S53" s="18">
        <v>2.2503516174402251E-3</v>
      </c>
      <c r="T53" s="18">
        <v>1.6877637130801688E-3</v>
      </c>
      <c r="U53" s="18">
        <v>1.4064697609001407E-3</v>
      </c>
      <c r="V53" s="18">
        <v>0</v>
      </c>
    </row>
    <row r="54" spans="1:22" x14ac:dyDescent="0.2">
      <c r="A54" s="27">
        <v>0.53125000000001399</v>
      </c>
      <c r="B54" s="5">
        <v>3.867791842475387E-3</v>
      </c>
      <c r="C54" s="6">
        <v>2.4613220815752463E-3</v>
      </c>
      <c r="D54" s="6">
        <v>2.4613220815752463E-3</v>
      </c>
      <c r="E54" s="6">
        <v>2.4613220815752463E-3</v>
      </c>
      <c r="F54" s="6">
        <v>2.8129395218002813E-3</v>
      </c>
      <c r="G54" s="6">
        <v>4.2194092827004216E-3</v>
      </c>
      <c r="H54" s="12">
        <v>0</v>
      </c>
      <c r="I54" s="19">
        <v>1.9326005556226597E-3</v>
      </c>
      <c r="J54" s="19">
        <v>1.4494504167169948E-3</v>
      </c>
      <c r="K54" s="19">
        <v>1.570237951443411E-3</v>
      </c>
      <c r="L54" s="19">
        <v>2.0533880903490761E-3</v>
      </c>
      <c r="M54" s="19">
        <v>2.2949631598019084E-3</v>
      </c>
      <c r="N54" s="19">
        <v>2.6573257639811573E-3</v>
      </c>
      <c r="O54" s="19">
        <v>2.7781132987075735E-3</v>
      </c>
      <c r="P54" s="18">
        <v>1.6877637130801688E-3</v>
      </c>
      <c r="Q54" s="18">
        <v>1.9690576652601969E-3</v>
      </c>
      <c r="R54" s="18">
        <v>1.9690576652601969E-3</v>
      </c>
      <c r="S54" s="18">
        <v>2.2503516174402251E-3</v>
      </c>
      <c r="T54" s="18">
        <v>1.6877637130801688E-3</v>
      </c>
      <c r="U54" s="18">
        <v>1.4064697609001407E-3</v>
      </c>
      <c r="V54" s="18">
        <v>0</v>
      </c>
    </row>
    <row r="55" spans="1:22" x14ac:dyDescent="0.2">
      <c r="A55" s="27">
        <v>0.54166666666668095</v>
      </c>
      <c r="B55" s="5">
        <v>3.867791842475387E-3</v>
      </c>
      <c r="C55" s="6">
        <v>2.4613220815752463E-3</v>
      </c>
      <c r="D55" s="6">
        <v>2.4613220815752463E-3</v>
      </c>
      <c r="E55" s="6">
        <v>2.4613220815752463E-3</v>
      </c>
      <c r="F55" s="6">
        <v>2.8129395218002813E-3</v>
      </c>
      <c r="G55" s="6">
        <v>4.2194092827004216E-3</v>
      </c>
      <c r="H55" s="12">
        <v>0</v>
      </c>
      <c r="I55" s="19">
        <v>1.9326005556226597E-3</v>
      </c>
      <c r="J55" s="19">
        <v>1.4494504167169948E-3</v>
      </c>
      <c r="K55" s="19">
        <v>1.570237951443411E-3</v>
      </c>
      <c r="L55" s="19">
        <v>2.0533880903490761E-3</v>
      </c>
      <c r="M55" s="19">
        <v>2.4157506945283245E-3</v>
      </c>
      <c r="N55" s="19">
        <v>2.6573257639811573E-3</v>
      </c>
      <c r="O55" s="19">
        <v>2.7781132987075735E-3</v>
      </c>
      <c r="P55" s="18">
        <v>1.6877637130801688E-3</v>
      </c>
      <c r="Q55" s="18">
        <v>1.9690576652601969E-3</v>
      </c>
      <c r="R55" s="18">
        <v>1.6877637130801688E-3</v>
      </c>
      <c r="S55" s="18">
        <v>2.2503516174402251E-3</v>
      </c>
      <c r="T55" s="18">
        <v>1.4064697609001407E-3</v>
      </c>
      <c r="U55" s="18">
        <v>1.4064697609001407E-3</v>
      </c>
      <c r="V55" s="18">
        <v>0</v>
      </c>
    </row>
    <row r="56" spans="1:22" x14ac:dyDescent="0.2">
      <c r="A56" s="27">
        <v>0.55208333333334803</v>
      </c>
      <c r="B56" s="5">
        <v>3.867791842475387E-3</v>
      </c>
      <c r="C56" s="6">
        <v>2.4613220815752463E-3</v>
      </c>
      <c r="D56" s="6">
        <v>2.4613220815752463E-3</v>
      </c>
      <c r="E56" s="6">
        <v>2.4613220815752463E-3</v>
      </c>
      <c r="F56" s="6">
        <v>2.8129395218002813E-3</v>
      </c>
      <c r="G56" s="6">
        <v>4.2194092827004216E-3</v>
      </c>
      <c r="H56" s="12">
        <v>0</v>
      </c>
      <c r="I56" s="19">
        <v>1.9326005556226597E-3</v>
      </c>
      <c r="J56" s="19">
        <v>1.4494504167169948E-3</v>
      </c>
      <c r="K56" s="19">
        <v>1.570237951443411E-3</v>
      </c>
      <c r="L56" s="19">
        <v>2.0533880903490761E-3</v>
      </c>
      <c r="M56" s="19">
        <v>2.5365382292547407E-3</v>
      </c>
      <c r="N56" s="19">
        <v>2.6573257639811573E-3</v>
      </c>
      <c r="O56" s="19">
        <v>2.8989008334339896E-3</v>
      </c>
      <c r="P56" s="18">
        <v>1.6877637130801688E-3</v>
      </c>
      <c r="Q56" s="18">
        <v>1.9690576652601969E-3</v>
      </c>
      <c r="R56" s="18">
        <v>1.6877637130801688E-3</v>
      </c>
      <c r="S56" s="18">
        <v>2.2503516174402251E-3</v>
      </c>
      <c r="T56" s="18">
        <v>1.4064697609001407E-3</v>
      </c>
      <c r="U56" s="18">
        <v>1.4064697609001407E-3</v>
      </c>
      <c r="V56" s="18">
        <v>0</v>
      </c>
    </row>
    <row r="57" spans="1:22" x14ac:dyDescent="0.2">
      <c r="A57" s="27">
        <v>0.56250000000001499</v>
      </c>
      <c r="B57" s="5">
        <v>3.867791842475387E-3</v>
      </c>
      <c r="C57" s="6">
        <v>2.1097046413502108E-3</v>
      </c>
      <c r="D57" s="6">
        <v>2.1097046413502108E-3</v>
      </c>
      <c r="E57" s="6">
        <v>2.1097046413502108E-3</v>
      </c>
      <c r="F57" s="6">
        <v>3.1645569620253164E-3</v>
      </c>
      <c r="G57" s="6">
        <v>4.2194092827004216E-3</v>
      </c>
      <c r="H57" s="12">
        <v>0</v>
      </c>
      <c r="I57" s="19">
        <v>1.8118130208962435E-3</v>
      </c>
      <c r="J57" s="19">
        <v>1.4494504167169948E-3</v>
      </c>
      <c r="K57" s="19">
        <v>1.570237951443411E-3</v>
      </c>
      <c r="L57" s="19">
        <v>2.0533880903490761E-3</v>
      </c>
      <c r="M57" s="19">
        <v>2.5365382292547407E-3</v>
      </c>
      <c r="N57" s="19">
        <v>2.6573257639811573E-3</v>
      </c>
      <c r="O57" s="19">
        <v>2.8989008334339896E-3</v>
      </c>
      <c r="P57" s="18">
        <v>1.6877637130801688E-3</v>
      </c>
      <c r="Q57" s="18">
        <v>1.6877637130801688E-3</v>
      </c>
      <c r="R57" s="18">
        <v>1.6877637130801688E-3</v>
      </c>
      <c r="S57" s="18">
        <v>1.9690576652601969E-3</v>
      </c>
      <c r="T57" s="18">
        <v>1.4064697609001407E-3</v>
      </c>
      <c r="U57" s="18">
        <v>1.4064697609001407E-3</v>
      </c>
      <c r="V57" s="18">
        <v>0</v>
      </c>
    </row>
    <row r="58" spans="1:22" x14ac:dyDescent="0.2">
      <c r="A58" s="27">
        <v>0.57291666666668195</v>
      </c>
      <c r="B58" s="5">
        <v>3.867791842475387E-3</v>
      </c>
      <c r="C58" s="6">
        <v>2.1097046413502108E-3</v>
      </c>
      <c r="D58" s="6">
        <v>2.1097046413502108E-3</v>
      </c>
      <c r="E58" s="6">
        <v>2.1097046413502108E-3</v>
      </c>
      <c r="F58" s="6">
        <v>3.1645569620253164E-3</v>
      </c>
      <c r="G58" s="6">
        <v>4.2194092827004216E-3</v>
      </c>
      <c r="H58" s="12">
        <v>0</v>
      </c>
      <c r="I58" s="19">
        <v>1.8118130208962435E-3</v>
      </c>
      <c r="J58" s="19">
        <v>1.4494504167169948E-3</v>
      </c>
      <c r="K58" s="19">
        <v>1.4494504167169948E-3</v>
      </c>
      <c r="L58" s="19">
        <v>2.1741756250754922E-3</v>
      </c>
      <c r="M58" s="19">
        <v>2.5365382292547407E-3</v>
      </c>
      <c r="N58" s="19">
        <v>2.6573257639811573E-3</v>
      </c>
      <c r="O58" s="19">
        <v>2.8989008334339896E-3</v>
      </c>
      <c r="P58" s="18">
        <v>1.6877637130801688E-3</v>
      </c>
      <c r="Q58" s="18">
        <v>1.6877637130801688E-3</v>
      </c>
      <c r="R58" s="18">
        <v>1.6877637130801688E-3</v>
      </c>
      <c r="S58" s="18">
        <v>1.9690576652601969E-3</v>
      </c>
      <c r="T58" s="18">
        <v>1.1251758087201125E-3</v>
      </c>
      <c r="U58" s="18">
        <v>1.4064697609001407E-3</v>
      </c>
      <c r="V58" s="18">
        <v>0</v>
      </c>
    </row>
    <row r="59" spans="1:22" x14ac:dyDescent="0.2">
      <c r="A59" s="27">
        <v>0.58333333333334902</v>
      </c>
      <c r="B59" s="5">
        <v>3.5161744022503515E-3</v>
      </c>
      <c r="C59" s="6">
        <v>2.1097046413502108E-3</v>
      </c>
      <c r="D59" s="6">
        <v>2.1097046413502108E-3</v>
      </c>
      <c r="E59" s="6">
        <v>2.1097046413502108E-3</v>
      </c>
      <c r="F59" s="6">
        <v>3.1645569620253164E-3</v>
      </c>
      <c r="G59" s="6">
        <v>3.867791842475387E-3</v>
      </c>
      <c r="H59" s="12">
        <v>0</v>
      </c>
      <c r="I59" s="19">
        <v>1.8118130208962435E-3</v>
      </c>
      <c r="J59" s="19">
        <v>1.4494504167169948E-3</v>
      </c>
      <c r="K59" s="19">
        <v>1.4494504167169948E-3</v>
      </c>
      <c r="L59" s="19">
        <v>1.9326005556226597E-3</v>
      </c>
      <c r="M59" s="19">
        <v>2.4157506945283245E-3</v>
      </c>
      <c r="N59" s="19">
        <v>2.2949631598019084E-3</v>
      </c>
      <c r="O59" s="19">
        <v>2.6573257639811573E-3</v>
      </c>
      <c r="P59" s="18">
        <v>1.6877637130801688E-3</v>
      </c>
      <c r="Q59" s="18">
        <v>2.2503516174402251E-3</v>
      </c>
      <c r="R59" s="18">
        <v>1.9690576652601969E-3</v>
      </c>
      <c r="S59" s="18">
        <v>3.0942334739803095E-3</v>
      </c>
      <c r="T59" s="18">
        <v>1.6877637130801688E-3</v>
      </c>
      <c r="U59" s="18">
        <v>1.4064697609001407E-3</v>
      </c>
      <c r="V59" s="18">
        <v>0</v>
      </c>
    </row>
    <row r="60" spans="1:22" x14ac:dyDescent="0.2">
      <c r="A60" s="27">
        <v>0.59375000000001599</v>
      </c>
      <c r="B60" s="5">
        <v>3.5161744022503515E-3</v>
      </c>
      <c r="C60" s="6">
        <v>2.1097046413502108E-3</v>
      </c>
      <c r="D60" s="6">
        <v>2.1097046413502108E-3</v>
      </c>
      <c r="E60" s="6">
        <v>2.1097046413502108E-3</v>
      </c>
      <c r="F60" s="6">
        <v>3.1645569620253164E-3</v>
      </c>
      <c r="G60" s="6">
        <v>3.867791842475387E-3</v>
      </c>
      <c r="H60" s="12">
        <v>0</v>
      </c>
      <c r="I60" s="19">
        <v>1.8118130208962435E-3</v>
      </c>
      <c r="J60" s="19">
        <v>1.4494504167169948E-3</v>
      </c>
      <c r="K60" s="19">
        <v>1.4494504167169948E-3</v>
      </c>
      <c r="L60" s="19">
        <v>1.9326005556226597E-3</v>
      </c>
      <c r="M60" s="19">
        <v>2.4157506945283245E-3</v>
      </c>
      <c r="N60" s="19">
        <v>2.2949631598019084E-3</v>
      </c>
      <c r="O60" s="19">
        <v>2.6573257639811573E-3</v>
      </c>
      <c r="P60" s="18">
        <v>1.6877637130801688E-3</v>
      </c>
      <c r="Q60" s="18">
        <v>2.2503516174402251E-3</v>
      </c>
      <c r="R60" s="18">
        <v>1.9690576652601969E-3</v>
      </c>
      <c r="S60" s="18">
        <v>3.0942334739803095E-3</v>
      </c>
      <c r="T60" s="18">
        <v>1.6877637130801688E-3</v>
      </c>
      <c r="U60" s="18">
        <v>1.1251758087201125E-3</v>
      </c>
      <c r="V60" s="18">
        <v>0</v>
      </c>
    </row>
    <row r="61" spans="1:22" x14ac:dyDescent="0.2">
      <c r="A61" s="27">
        <v>0.60416666666668295</v>
      </c>
      <c r="B61" s="5">
        <v>3.5161744022503515E-3</v>
      </c>
      <c r="C61" s="6">
        <v>2.1097046413502108E-3</v>
      </c>
      <c r="D61" s="6">
        <v>2.1097046413502108E-3</v>
      </c>
      <c r="E61" s="6">
        <v>2.1097046413502108E-3</v>
      </c>
      <c r="F61" s="6">
        <v>3.1645569620253164E-3</v>
      </c>
      <c r="G61" s="6">
        <v>3.867791842475387E-3</v>
      </c>
      <c r="H61" s="12">
        <v>0</v>
      </c>
      <c r="I61" s="19">
        <v>1.9326005556226597E-3</v>
      </c>
      <c r="J61" s="19">
        <v>1.4494504167169948E-3</v>
      </c>
      <c r="K61" s="19">
        <v>1.570237951443411E-3</v>
      </c>
      <c r="L61" s="19">
        <v>1.9326005556226597E-3</v>
      </c>
      <c r="M61" s="19">
        <v>2.4157506945283245E-3</v>
      </c>
      <c r="N61" s="19">
        <v>2.2949631598019084E-3</v>
      </c>
      <c r="O61" s="19">
        <v>2.5365382292547407E-3</v>
      </c>
      <c r="P61" s="18">
        <v>1.9690576652601969E-3</v>
      </c>
      <c r="Q61" s="18">
        <v>2.2503516174402251E-3</v>
      </c>
      <c r="R61" s="18">
        <v>1.9690576652601969E-3</v>
      </c>
      <c r="S61" s="18">
        <v>3.0942334739803095E-3</v>
      </c>
      <c r="T61" s="18">
        <v>1.6877637130801688E-3</v>
      </c>
      <c r="U61" s="18">
        <v>1.1251758087201125E-3</v>
      </c>
      <c r="V61" s="18">
        <v>0</v>
      </c>
    </row>
    <row r="62" spans="1:22" x14ac:dyDescent="0.2">
      <c r="A62" s="27">
        <v>0.61458333333335002</v>
      </c>
      <c r="B62" s="5">
        <v>3.5161744022503515E-3</v>
      </c>
      <c r="C62" s="6">
        <v>1.7580872011251757E-3</v>
      </c>
      <c r="D62" s="6">
        <v>1.7580872011251757E-3</v>
      </c>
      <c r="E62" s="6">
        <v>1.7580872011251757E-3</v>
      </c>
      <c r="F62" s="6">
        <v>3.5161744022503515E-3</v>
      </c>
      <c r="G62" s="6">
        <v>3.867791842475387E-3</v>
      </c>
      <c r="H62" s="12">
        <v>0</v>
      </c>
      <c r="I62" s="19">
        <v>1.9326005556226597E-3</v>
      </c>
      <c r="J62" s="19">
        <v>1.3286628819905786E-3</v>
      </c>
      <c r="K62" s="19">
        <v>1.570237951443411E-3</v>
      </c>
      <c r="L62" s="19">
        <v>1.9326005556226597E-3</v>
      </c>
      <c r="M62" s="19">
        <v>2.4157506945283245E-3</v>
      </c>
      <c r="N62" s="19">
        <v>2.1741756250754922E-3</v>
      </c>
      <c r="O62" s="19">
        <v>2.5365382292547407E-3</v>
      </c>
      <c r="P62" s="18">
        <v>1.9690576652601969E-3</v>
      </c>
      <c r="Q62" s="18">
        <v>2.2503516174402251E-3</v>
      </c>
      <c r="R62" s="18">
        <v>1.9690576652601969E-3</v>
      </c>
      <c r="S62" s="18">
        <v>3.3755274261603376E-3</v>
      </c>
      <c r="T62" s="18">
        <v>2.8129395218002813E-3</v>
      </c>
      <c r="U62" s="18">
        <v>1.1251758087201125E-3</v>
      </c>
      <c r="V62" s="18">
        <v>0</v>
      </c>
    </row>
    <row r="63" spans="1:22" x14ac:dyDescent="0.2">
      <c r="A63" s="27">
        <v>0.62500000000001699</v>
      </c>
      <c r="B63" s="5">
        <v>3.1645569620253164E-3</v>
      </c>
      <c r="C63" s="6">
        <v>2.1097046413502108E-3</v>
      </c>
      <c r="D63" s="6">
        <v>2.1097046413502108E-3</v>
      </c>
      <c r="E63" s="6">
        <v>2.1097046413502108E-3</v>
      </c>
      <c r="F63" s="6">
        <v>3.1645569620253164E-3</v>
      </c>
      <c r="G63" s="6">
        <v>3.5161744022503515E-3</v>
      </c>
      <c r="H63" s="12">
        <v>0</v>
      </c>
      <c r="I63" s="19">
        <v>1.8118130208962435E-3</v>
      </c>
      <c r="J63" s="19">
        <v>1.3286628819905786E-3</v>
      </c>
      <c r="K63" s="19">
        <v>1.4494504167169948E-3</v>
      </c>
      <c r="L63" s="19">
        <v>1.8118130208962435E-3</v>
      </c>
      <c r="M63" s="19">
        <v>2.2949631598019084E-3</v>
      </c>
      <c r="N63" s="19">
        <v>1.9326005556226597E-3</v>
      </c>
      <c r="O63" s="19">
        <v>2.2949631598019084E-3</v>
      </c>
      <c r="P63" s="18">
        <v>1.9690576652601969E-3</v>
      </c>
      <c r="Q63" s="18">
        <v>3.3755274261603376E-3</v>
      </c>
      <c r="R63" s="18">
        <v>2.8129395218002813E-3</v>
      </c>
      <c r="S63" s="18">
        <v>3.6568213783403658E-3</v>
      </c>
      <c r="T63" s="18">
        <v>2.8129395218002813E-3</v>
      </c>
      <c r="U63" s="18">
        <v>1.6877637130801688E-3</v>
      </c>
      <c r="V63" s="18">
        <v>0</v>
      </c>
    </row>
    <row r="64" spans="1:22" x14ac:dyDescent="0.2">
      <c r="A64" s="27">
        <v>0.63541666666668395</v>
      </c>
      <c r="B64" s="5">
        <v>3.1645569620253164E-3</v>
      </c>
      <c r="C64" s="6">
        <v>2.1097046413502108E-3</v>
      </c>
      <c r="D64" s="6">
        <v>2.1097046413502108E-3</v>
      </c>
      <c r="E64" s="6">
        <v>2.1097046413502108E-3</v>
      </c>
      <c r="F64" s="6">
        <v>3.1645569620253164E-3</v>
      </c>
      <c r="G64" s="6">
        <v>3.5161744022503515E-3</v>
      </c>
      <c r="H64" s="12">
        <v>0</v>
      </c>
      <c r="I64" s="19">
        <v>1.8118130208962435E-3</v>
      </c>
      <c r="J64" s="19">
        <v>1.3286628819905786E-3</v>
      </c>
      <c r="K64" s="19">
        <v>1.4494504167169948E-3</v>
      </c>
      <c r="L64" s="19">
        <v>1.8118130208962435E-3</v>
      </c>
      <c r="M64" s="19">
        <v>2.2949631598019084E-3</v>
      </c>
      <c r="N64" s="19">
        <v>1.9326005556226597E-3</v>
      </c>
      <c r="O64" s="19">
        <v>2.2949631598019084E-3</v>
      </c>
      <c r="P64" s="18">
        <v>2.2503516174402251E-3</v>
      </c>
      <c r="Q64" s="18">
        <v>3.3755274261603376E-3</v>
      </c>
      <c r="R64" s="18">
        <v>2.8129395218002813E-3</v>
      </c>
      <c r="S64" s="18">
        <v>3.6568213783403658E-3</v>
      </c>
      <c r="T64" s="18">
        <v>3.0942334739803095E-3</v>
      </c>
      <c r="U64" s="18">
        <v>1.6877637130801688E-3</v>
      </c>
      <c r="V64" s="18">
        <v>0</v>
      </c>
    </row>
    <row r="65" spans="1:22" x14ac:dyDescent="0.2">
      <c r="A65" s="27">
        <v>0.64583333333335102</v>
      </c>
      <c r="B65" s="5">
        <v>2.8129395218002813E-3</v>
      </c>
      <c r="C65" s="6">
        <v>2.1097046413502108E-3</v>
      </c>
      <c r="D65" s="6">
        <v>2.1097046413502108E-3</v>
      </c>
      <c r="E65" s="6">
        <v>2.1097046413502108E-3</v>
      </c>
      <c r="F65" s="6">
        <v>3.1645569620253164E-3</v>
      </c>
      <c r="G65" s="6">
        <v>3.5161744022503515E-3</v>
      </c>
      <c r="H65" s="12">
        <v>0</v>
      </c>
      <c r="I65" s="19">
        <v>1.9326005556226597E-3</v>
      </c>
      <c r="J65" s="19">
        <v>1.3286628819905786E-3</v>
      </c>
      <c r="K65" s="19">
        <v>1.4494504167169948E-3</v>
      </c>
      <c r="L65" s="19">
        <v>1.6910254861698273E-3</v>
      </c>
      <c r="M65" s="19">
        <v>2.2949631598019084E-3</v>
      </c>
      <c r="N65" s="19">
        <v>1.9326005556226597E-3</v>
      </c>
      <c r="O65" s="19">
        <v>2.2949631598019084E-3</v>
      </c>
      <c r="P65" s="18">
        <v>2.2503516174402251E-3</v>
      </c>
      <c r="Q65" s="18">
        <v>3.3755274261603376E-3</v>
      </c>
      <c r="R65" s="18">
        <v>3.0942334739803095E-3</v>
      </c>
      <c r="S65" s="18">
        <v>3.6568213783403658E-3</v>
      </c>
      <c r="T65" s="18">
        <v>3.0942334739803095E-3</v>
      </c>
      <c r="U65" s="18">
        <v>1.6877637130801688E-3</v>
      </c>
      <c r="V65" s="18">
        <v>0</v>
      </c>
    </row>
    <row r="66" spans="1:22" x14ac:dyDescent="0.2">
      <c r="A66" s="27">
        <v>0.65625000000001799</v>
      </c>
      <c r="B66" s="5">
        <v>2.8129395218002813E-3</v>
      </c>
      <c r="C66" s="6">
        <v>2.1097046413502108E-3</v>
      </c>
      <c r="D66" s="6">
        <v>2.1097046413502108E-3</v>
      </c>
      <c r="E66" s="6">
        <v>2.1097046413502108E-3</v>
      </c>
      <c r="F66" s="6">
        <v>3.5161744022503515E-3</v>
      </c>
      <c r="G66" s="6">
        <v>3.1645569620253164E-3</v>
      </c>
      <c r="H66" s="12">
        <v>0</v>
      </c>
      <c r="I66" s="19">
        <v>1.9326005556226597E-3</v>
      </c>
      <c r="J66" s="19">
        <v>1.3286628819905786E-3</v>
      </c>
      <c r="K66" s="19">
        <v>1.4494504167169948E-3</v>
      </c>
      <c r="L66" s="19">
        <v>1.6910254861698273E-3</v>
      </c>
      <c r="M66" s="19">
        <v>2.1741756250754922E-3</v>
      </c>
      <c r="N66" s="19">
        <v>1.8118130208962435E-3</v>
      </c>
      <c r="O66" s="19">
        <v>2.1741756250754922E-3</v>
      </c>
      <c r="P66" s="18">
        <v>2.2503516174402251E-3</v>
      </c>
      <c r="Q66" s="18">
        <v>3.3755274261603376E-3</v>
      </c>
      <c r="R66" s="18">
        <v>3.0942334739803095E-3</v>
      </c>
      <c r="S66" s="18">
        <v>3.9381153305203939E-3</v>
      </c>
      <c r="T66" s="18">
        <v>3.0942334739803095E-3</v>
      </c>
      <c r="U66" s="18">
        <v>1.9690576652601969E-3</v>
      </c>
      <c r="V66" s="18">
        <v>0</v>
      </c>
    </row>
    <row r="67" spans="1:22" x14ac:dyDescent="0.2">
      <c r="A67" s="27">
        <v>0.66666666666668495</v>
      </c>
      <c r="B67" s="5">
        <v>3.5161744022503515E-3</v>
      </c>
      <c r="C67" s="6">
        <v>2.8129395218002813E-3</v>
      </c>
      <c r="D67" s="6">
        <v>2.8129395218002813E-3</v>
      </c>
      <c r="E67" s="6">
        <v>2.8129395218002813E-3</v>
      </c>
      <c r="F67" s="6">
        <v>3.1645569620253164E-3</v>
      </c>
      <c r="G67" s="6">
        <v>3.1645569620253164E-3</v>
      </c>
      <c r="H67" s="12">
        <v>0</v>
      </c>
      <c r="I67" s="19">
        <v>1.8118130208962435E-3</v>
      </c>
      <c r="J67" s="19">
        <v>1.3286628819905786E-3</v>
      </c>
      <c r="K67" s="19">
        <v>1.4494504167169948E-3</v>
      </c>
      <c r="L67" s="19">
        <v>1.6910254861698273E-3</v>
      </c>
      <c r="M67" s="19">
        <v>2.1741756250754922E-3</v>
      </c>
      <c r="N67" s="19">
        <v>1.4494504167169948E-3</v>
      </c>
      <c r="O67" s="19">
        <v>2.0533880903490761E-3</v>
      </c>
      <c r="P67" s="18">
        <v>2.2503516174402251E-3</v>
      </c>
      <c r="Q67" s="18">
        <v>3.6568213783403658E-3</v>
      </c>
      <c r="R67" s="18">
        <v>3.0942334739803095E-3</v>
      </c>
      <c r="S67" s="18">
        <v>3.9381153305203939E-3</v>
      </c>
      <c r="T67" s="18">
        <v>3.0942334739803095E-3</v>
      </c>
      <c r="U67" s="18">
        <v>1.6877637130801688E-3</v>
      </c>
      <c r="V67" s="18">
        <v>0</v>
      </c>
    </row>
    <row r="68" spans="1:22" x14ac:dyDescent="0.2">
      <c r="A68" s="27">
        <v>0.67708333333335202</v>
      </c>
      <c r="B68" s="5">
        <v>3.5161744022503515E-3</v>
      </c>
      <c r="C68" s="6">
        <v>2.8129395218002813E-3</v>
      </c>
      <c r="D68" s="6">
        <v>2.8129395218002813E-3</v>
      </c>
      <c r="E68" s="6">
        <v>2.8129395218002813E-3</v>
      </c>
      <c r="F68" s="6">
        <v>3.5161744022503515E-3</v>
      </c>
      <c r="G68" s="6">
        <v>3.1645569620253164E-3</v>
      </c>
      <c r="H68" s="12">
        <v>0</v>
      </c>
      <c r="I68" s="19">
        <v>1.8118130208962435E-3</v>
      </c>
      <c r="J68" s="19">
        <v>1.3286628819905786E-3</v>
      </c>
      <c r="K68" s="19">
        <v>1.4494504167169948E-3</v>
      </c>
      <c r="L68" s="19">
        <v>1.6910254861698273E-3</v>
      </c>
      <c r="M68" s="19">
        <v>2.1741756250754922E-3</v>
      </c>
      <c r="N68" s="19">
        <v>1.4494504167169948E-3</v>
      </c>
      <c r="O68" s="19">
        <v>1.9326005556226597E-3</v>
      </c>
      <c r="P68" s="18">
        <v>2.2503516174402251E-3</v>
      </c>
      <c r="Q68" s="18">
        <v>3.6568213783403658E-3</v>
      </c>
      <c r="R68" s="18">
        <v>3.0942334739803095E-3</v>
      </c>
      <c r="S68" s="18">
        <v>3.6568213783403658E-3</v>
      </c>
      <c r="T68" s="18">
        <v>3.3755274261603376E-3</v>
      </c>
      <c r="U68" s="18">
        <v>1.6877637130801688E-3</v>
      </c>
      <c r="V68" s="18">
        <v>0</v>
      </c>
    </row>
    <row r="69" spans="1:22" x14ac:dyDescent="0.2">
      <c r="A69" s="27">
        <v>0.68750000000001898</v>
      </c>
      <c r="B69" s="5">
        <v>3.5161744022503515E-3</v>
      </c>
      <c r="C69" s="6">
        <v>2.8129395218002813E-3</v>
      </c>
      <c r="D69" s="6">
        <v>2.8129395218002813E-3</v>
      </c>
      <c r="E69" s="6">
        <v>2.8129395218002813E-3</v>
      </c>
      <c r="F69" s="6">
        <v>3.5161744022503515E-3</v>
      </c>
      <c r="G69" s="6">
        <v>3.5161744022503515E-3</v>
      </c>
      <c r="H69" s="12">
        <v>0</v>
      </c>
      <c r="I69" s="19">
        <v>1.8118130208962435E-3</v>
      </c>
      <c r="J69" s="19">
        <v>1.3286628819905786E-3</v>
      </c>
      <c r="K69" s="19">
        <v>1.570237951443411E-3</v>
      </c>
      <c r="L69" s="19">
        <v>1.570237951443411E-3</v>
      </c>
      <c r="M69" s="19">
        <v>2.1741756250754922E-3</v>
      </c>
      <c r="N69" s="19">
        <v>1.4494504167169948E-3</v>
      </c>
      <c r="O69" s="19">
        <v>1.9326005556226597E-3</v>
      </c>
      <c r="P69" s="18">
        <v>2.2503516174402251E-3</v>
      </c>
      <c r="Q69" s="18">
        <v>3.6568213783403658E-3</v>
      </c>
      <c r="R69" s="18">
        <v>3.0942334739803095E-3</v>
      </c>
      <c r="S69" s="18">
        <v>3.6568213783403658E-3</v>
      </c>
      <c r="T69" s="18">
        <v>3.3755274261603376E-3</v>
      </c>
      <c r="U69" s="18">
        <v>1.6877637130801688E-3</v>
      </c>
      <c r="V69" s="18">
        <v>0</v>
      </c>
    </row>
    <row r="70" spans="1:22" x14ac:dyDescent="0.2">
      <c r="A70" s="27">
        <v>0.69791666666668595</v>
      </c>
      <c r="B70" s="5">
        <v>3.5161744022503515E-3</v>
      </c>
      <c r="C70" s="6">
        <v>2.8129395218002813E-3</v>
      </c>
      <c r="D70" s="6">
        <v>2.8129395218002813E-3</v>
      </c>
      <c r="E70" s="6">
        <v>2.8129395218002813E-3</v>
      </c>
      <c r="F70" s="6">
        <v>3.5161744022503515E-3</v>
      </c>
      <c r="G70" s="6">
        <v>3.5161744022503515E-3</v>
      </c>
      <c r="H70" s="12">
        <v>0</v>
      </c>
      <c r="I70" s="19">
        <v>1.8118130208962435E-3</v>
      </c>
      <c r="J70" s="19">
        <v>1.4494504167169948E-3</v>
      </c>
      <c r="K70" s="19">
        <v>1.570237951443411E-3</v>
      </c>
      <c r="L70" s="19">
        <v>1.570237951443411E-3</v>
      </c>
      <c r="M70" s="19">
        <v>2.1741756250754922E-3</v>
      </c>
      <c r="N70" s="19">
        <v>1.4494504167169948E-3</v>
      </c>
      <c r="O70" s="19">
        <v>1.9326005556226597E-3</v>
      </c>
      <c r="P70" s="18">
        <v>2.2503516174402251E-3</v>
      </c>
      <c r="Q70" s="18">
        <v>3.6568213783403658E-3</v>
      </c>
      <c r="R70" s="18">
        <v>3.0942334739803095E-3</v>
      </c>
      <c r="S70" s="18">
        <v>3.6568213783403658E-3</v>
      </c>
      <c r="T70" s="18">
        <v>3.3755274261603376E-3</v>
      </c>
      <c r="U70" s="18">
        <v>1.6877637130801688E-3</v>
      </c>
      <c r="V70" s="18">
        <v>0</v>
      </c>
    </row>
    <row r="71" spans="1:22" x14ac:dyDescent="0.2">
      <c r="A71" s="27">
        <v>0.70833333333335302</v>
      </c>
      <c r="B71" s="5">
        <v>3.867791842475387E-3</v>
      </c>
      <c r="C71" s="6">
        <v>2.8129395218002813E-3</v>
      </c>
      <c r="D71" s="6">
        <v>2.8129395218002813E-3</v>
      </c>
      <c r="E71" s="6">
        <v>2.8129395218002813E-3</v>
      </c>
      <c r="F71" s="6">
        <v>3.5161744022503515E-3</v>
      </c>
      <c r="G71" s="6">
        <v>3.5161744022503515E-3</v>
      </c>
      <c r="H71" s="12">
        <v>0</v>
      </c>
      <c r="I71" s="19">
        <v>1.6910254861698273E-3</v>
      </c>
      <c r="J71" s="19">
        <v>1.4494504167169948E-3</v>
      </c>
      <c r="K71" s="19">
        <v>1.570237951443411E-3</v>
      </c>
      <c r="L71" s="19">
        <v>1.570237951443411E-3</v>
      </c>
      <c r="M71" s="19">
        <v>2.1741756250754922E-3</v>
      </c>
      <c r="N71" s="19">
        <v>1.2078753472641623E-3</v>
      </c>
      <c r="O71" s="19">
        <v>1.6910254861698273E-3</v>
      </c>
      <c r="P71" s="18">
        <v>2.2503516174402251E-3</v>
      </c>
      <c r="Q71" s="18">
        <v>3.3755274261603376E-3</v>
      </c>
      <c r="R71" s="18">
        <v>2.2503516174402251E-3</v>
      </c>
      <c r="S71" s="18">
        <v>2.5316455696202532E-3</v>
      </c>
      <c r="T71" s="18">
        <v>2.8129395218002813E-3</v>
      </c>
      <c r="U71" s="18">
        <v>2.2503516174402251E-3</v>
      </c>
      <c r="V71" s="18">
        <v>0</v>
      </c>
    </row>
    <row r="72" spans="1:22" x14ac:dyDescent="0.2">
      <c r="A72" s="27">
        <v>0.71875000000001998</v>
      </c>
      <c r="B72" s="5">
        <v>3.867791842475387E-3</v>
      </c>
      <c r="C72" s="6">
        <v>3.1645569620253164E-3</v>
      </c>
      <c r="D72" s="6">
        <v>3.1645569620253164E-3</v>
      </c>
      <c r="E72" s="6">
        <v>3.1645569620253164E-3</v>
      </c>
      <c r="F72" s="6">
        <v>3.5161744022503515E-3</v>
      </c>
      <c r="G72" s="6">
        <v>3.867791842475387E-3</v>
      </c>
      <c r="H72" s="12">
        <v>0</v>
      </c>
      <c r="I72" s="19">
        <v>1.6910254861698273E-3</v>
      </c>
      <c r="J72" s="19">
        <v>1.4494504167169948E-3</v>
      </c>
      <c r="K72" s="19">
        <v>1.570237951443411E-3</v>
      </c>
      <c r="L72" s="19">
        <v>1.570237951443411E-3</v>
      </c>
      <c r="M72" s="19">
        <v>2.2949631598019084E-3</v>
      </c>
      <c r="N72" s="19">
        <v>1.2078753472641623E-3</v>
      </c>
      <c r="O72" s="19">
        <v>1.6910254861698273E-3</v>
      </c>
      <c r="P72" s="18">
        <v>2.2503516174402251E-3</v>
      </c>
      <c r="Q72" s="18">
        <v>3.3755274261603376E-3</v>
      </c>
      <c r="R72" s="18">
        <v>2.2503516174402251E-3</v>
      </c>
      <c r="S72" s="18">
        <v>2.2503516174402251E-3</v>
      </c>
      <c r="T72" s="18">
        <v>2.8129395218002813E-3</v>
      </c>
      <c r="U72" s="18">
        <v>2.2503516174402251E-3</v>
      </c>
      <c r="V72" s="18">
        <v>0</v>
      </c>
    </row>
    <row r="73" spans="1:22" x14ac:dyDescent="0.2">
      <c r="A73" s="27">
        <v>0.72916666666668695</v>
      </c>
      <c r="B73" s="5">
        <v>3.867791842475387E-3</v>
      </c>
      <c r="C73" s="6">
        <v>3.1645569620253164E-3</v>
      </c>
      <c r="D73" s="6">
        <v>3.1645569620253164E-3</v>
      </c>
      <c r="E73" s="6">
        <v>3.1645569620253164E-3</v>
      </c>
      <c r="F73" s="6">
        <v>3.5161744022503515E-3</v>
      </c>
      <c r="G73" s="6">
        <v>3.867791842475387E-3</v>
      </c>
      <c r="H73" s="12">
        <v>0</v>
      </c>
      <c r="I73" s="19">
        <v>1.6910254861698273E-3</v>
      </c>
      <c r="J73" s="19">
        <v>1.4494504167169948E-3</v>
      </c>
      <c r="K73" s="19">
        <v>1.570237951443411E-3</v>
      </c>
      <c r="L73" s="19">
        <v>1.6910254861698273E-3</v>
      </c>
      <c r="M73" s="19">
        <v>2.2949631598019084E-3</v>
      </c>
      <c r="N73" s="19">
        <v>1.0870878125377461E-3</v>
      </c>
      <c r="O73" s="19">
        <v>1.6910254861698273E-3</v>
      </c>
      <c r="P73" s="18">
        <v>2.2503516174402251E-3</v>
      </c>
      <c r="Q73" s="18">
        <v>3.3755274261603376E-3</v>
      </c>
      <c r="R73" s="18">
        <v>2.2503516174402251E-3</v>
      </c>
      <c r="S73" s="18">
        <v>2.2503516174402251E-3</v>
      </c>
      <c r="T73" s="18">
        <v>2.8129395218002813E-3</v>
      </c>
      <c r="U73" s="18">
        <v>2.2503516174402251E-3</v>
      </c>
      <c r="V73" s="18">
        <v>0</v>
      </c>
    </row>
    <row r="74" spans="1:22" x14ac:dyDescent="0.2">
      <c r="A74" s="27">
        <v>0.73958333333335402</v>
      </c>
      <c r="B74" s="5">
        <v>3.867791842475387E-3</v>
      </c>
      <c r="C74" s="6">
        <v>3.1645569620253164E-3</v>
      </c>
      <c r="D74" s="6">
        <v>3.1645569620253164E-3</v>
      </c>
      <c r="E74" s="6">
        <v>3.1645569620253164E-3</v>
      </c>
      <c r="F74" s="6">
        <v>3.867791842475387E-3</v>
      </c>
      <c r="G74" s="6">
        <v>3.867791842475387E-3</v>
      </c>
      <c r="H74" s="12">
        <v>0</v>
      </c>
      <c r="I74" s="19">
        <v>1.570237951443411E-3</v>
      </c>
      <c r="J74" s="19">
        <v>1.4494504167169948E-3</v>
      </c>
      <c r="K74" s="19">
        <v>1.570237951443411E-3</v>
      </c>
      <c r="L74" s="19">
        <v>1.6910254861698273E-3</v>
      </c>
      <c r="M74" s="19">
        <v>2.2949631598019084E-3</v>
      </c>
      <c r="N74" s="19">
        <v>1.0870878125377461E-3</v>
      </c>
      <c r="O74" s="19">
        <v>1.6910254861698273E-3</v>
      </c>
      <c r="P74" s="18">
        <v>1.9690576652601969E-3</v>
      </c>
      <c r="Q74" s="18">
        <v>3.3755274261603376E-3</v>
      </c>
      <c r="R74" s="18">
        <v>2.2503516174402251E-3</v>
      </c>
      <c r="S74" s="18">
        <v>2.2503516174402251E-3</v>
      </c>
      <c r="T74" s="18">
        <v>2.8129395218002813E-3</v>
      </c>
      <c r="U74" s="18">
        <v>2.2503516174402251E-3</v>
      </c>
      <c r="V74" s="18">
        <v>0</v>
      </c>
    </row>
    <row r="75" spans="1:22" x14ac:dyDescent="0.2">
      <c r="A75" s="27">
        <v>0.75000000000002098</v>
      </c>
      <c r="B75" s="5">
        <v>4.2194092827004216E-3</v>
      </c>
      <c r="C75" s="6">
        <v>3.1645569620253164E-3</v>
      </c>
      <c r="D75" s="6">
        <v>3.1645569620253164E-3</v>
      </c>
      <c r="E75" s="6">
        <v>3.1645569620253164E-3</v>
      </c>
      <c r="F75" s="6">
        <v>3.867791842475387E-3</v>
      </c>
      <c r="G75" s="6">
        <v>3.867791842475387E-3</v>
      </c>
      <c r="H75" s="12">
        <v>0</v>
      </c>
      <c r="I75" s="19">
        <v>1.6910254861698273E-3</v>
      </c>
      <c r="J75" s="19">
        <v>1.4494504167169948E-3</v>
      </c>
      <c r="K75" s="19">
        <v>1.570237951443411E-3</v>
      </c>
      <c r="L75" s="19">
        <v>1.6910254861698273E-3</v>
      </c>
      <c r="M75" s="19">
        <v>2.4157506945283245E-3</v>
      </c>
      <c r="N75" s="19">
        <v>9.6630027781132984E-4</v>
      </c>
      <c r="O75" s="19">
        <v>1.570237951443411E-3</v>
      </c>
      <c r="P75" s="18">
        <v>1.9690576652601969E-3</v>
      </c>
      <c r="Q75" s="18">
        <v>2.8129395218002813E-3</v>
      </c>
      <c r="R75" s="18">
        <v>2.5316455696202532E-3</v>
      </c>
      <c r="S75" s="18">
        <v>2.2503516174402251E-3</v>
      </c>
      <c r="T75" s="18">
        <v>2.2503516174402251E-3</v>
      </c>
      <c r="U75" s="18">
        <v>1.4064697609001407E-3</v>
      </c>
      <c r="V75" s="18">
        <v>0</v>
      </c>
    </row>
    <row r="76" spans="1:22" x14ac:dyDescent="0.2">
      <c r="A76" s="27">
        <v>0.76041666666668795</v>
      </c>
      <c r="B76" s="5">
        <v>4.2194092827004216E-3</v>
      </c>
      <c r="C76" s="6">
        <v>3.1645569620253164E-3</v>
      </c>
      <c r="D76" s="6">
        <v>3.1645569620253164E-3</v>
      </c>
      <c r="E76" s="6">
        <v>3.1645569620253164E-3</v>
      </c>
      <c r="F76" s="6">
        <v>3.867791842475387E-3</v>
      </c>
      <c r="G76" s="6">
        <v>4.2194092827004216E-3</v>
      </c>
      <c r="H76" s="12">
        <v>0</v>
      </c>
      <c r="I76" s="19">
        <v>1.6910254861698273E-3</v>
      </c>
      <c r="J76" s="19">
        <v>1.4494504167169948E-3</v>
      </c>
      <c r="K76" s="19">
        <v>1.570237951443411E-3</v>
      </c>
      <c r="L76" s="19">
        <v>1.570237951443411E-3</v>
      </c>
      <c r="M76" s="19">
        <v>2.4157506945283245E-3</v>
      </c>
      <c r="N76" s="19">
        <v>9.6630027781132984E-4</v>
      </c>
      <c r="O76" s="19">
        <v>1.4494504167169948E-3</v>
      </c>
      <c r="P76" s="18">
        <v>1.9690576652601969E-3</v>
      </c>
      <c r="Q76" s="18">
        <v>2.8129395218002813E-3</v>
      </c>
      <c r="R76" s="18">
        <v>2.5316455696202532E-3</v>
      </c>
      <c r="S76" s="18">
        <v>2.2503516174402251E-3</v>
      </c>
      <c r="T76" s="18">
        <v>2.2503516174402251E-3</v>
      </c>
      <c r="U76" s="18">
        <v>1.4064697609001407E-3</v>
      </c>
      <c r="V76" s="18">
        <v>0</v>
      </c>
    </row>
    <row r="77" spans="1:22" x14ac:dyDescent="0.2">
      <c r="A77" s="27">
        <v>0.77083333333335502</v>
      </c>
      <c r="B77" s="5">
        <v>4.2194092827004216E-3</v>
      </c>
      <c r="C77" s="6">
        <v>3.1645569620253164E-3</v>
      </c>
      <c r="D77" s="6">
        <v>3.1645569620253164E-3</v>
      </c>
      <c r="E77" s="6">
        <v>3.1645569620253164E-3</v>
      </c>
      <c r="F77" s="6">
        <v>3.5161744022503515E-3</v>
      </c>
      <c r="G77" s="6">
        <v>4.2194092827004216E-3</v>
      </c>
      <c r="H77" s="12">
        <v>0</v>
      </c>
      <c r="I77" s="19">
        <v>1.6910254861698273E-3</v>
      </c>
      <c r="J77" s="19">
        <v>1.4494504167169948E-3</v>
      </c>
      <c r="K77" s="19">
        <v>1.6910254861698273E-3</v>
      </c>
      <c r="L77" s="19">
        <v>1.570237951443411E-3</v>
      </c>
      <c r="M77" s="19">
        <v>2.5365382292547407E-3</v>
      </c>
      <c r="N77" s="19">
        <v>9.6630027781132984E-4</v>
      </c>
      <c r="O77" s="19">
        <v>1.4494504167169948E-3</v>
      </c>
      <c r="P77" s="18">
        <v>1.9690576652601969E-3</v>
      </c>
      <c r="Q77" s="18">
        <v>2.5316455696202532E-3</v>
      </c>
      <c r="R77" s="18">
        <v>2.5316455696202532E-3</v>
      </c>
      <c r="S77" s="18">
        <v>1.9690576652601969E-3</v>
      </c>
      <c r="T77" s="18">
        <v>2.2503516174402251E-3</v>
      </c>
      <c r="U77" s="18">
        <v>1.4064697609001407E-3</v>
      </c>
      <c r="V77" s="18">
        <v>0</v>
      </c>
    </row>
    <row r="78" spans="1:22" x14ac:dyDescent="0.2">
      <c r="A78" s="27">
        <v>0.78125000000002198</v>
      </c>
      <c r="B78" s="5">
        <v>4.2194092827004216E-3</v>
      </c>
      <c r="C78" s="6">
        <v>2.8129395218002813E-3</v>
      </c>
      <c r="D78" s="6">
        <v>2.8129395218002813E-3</v>
      </c>
      <c r="E78" s="6">
        <v>2.8129395218002813E-3</v>
      </c>
      <c r="F78" s="6">
        <v>3.5161744022503515E-3</v>
      </c>
      <c r="G78" s="6">
        <v>4.2194092827004216E-3</v>
      </c>
      <c r="H78" s="12">
        <v>0</v>
      </c>
      <c r="I78" s="19">
        <v>1.6910254861698273E-3</v>
      </c>
      <c r="J78" s="19">
        <v>1.4494504167169948E-3</v>
      </c>
      <c r="K78" s="19">
        <v>1.6910254861698273E-3</v>
      </c>
      <c r="L78" s="19">
        <v>1.6910254861698273E-3</v>
      </c>
      <c r="M78" s="19">
        <v>2.5365382292547407E-3</v>
      </c>
      <c r="N78" s="19">
        <v>9.6630027781132984E-4</v>
      </c>
      <c r="O78" s="19">
        <v>1.4494504167169948E-3</v>
      </c>
      <c r="P78" s="18">
        <v>1.9690576652601969E-3</v>
      </c>
      <c r="Q78" s="18">
        <v>2.5316455696202532E-3</v>
      </c>
      <c r="R78" s="18">
        <v>2.8129395218002813E-3</v>
      </c>
      <c r="S78" s="18">
        <v>1.9690576652601969E-3</v>
      </c>
      <c r="T78" s="18">
        <v>2.2503516174402251E-3</v>
      </c>
      <c r="U78" s="18">
        <v>1.4064697609001407E-3</v>
      </c>
      <c r="V78" s="18">
        <v>0</v>
      </c>
    </row>
    <row r="79" spans="1:22" x14ac:dyDescent="0.2">
      <c r="A79" s="27">
        <v>0.79166666666668895</v>
      </c>
      <c r="B79" s="5">
        <v>4.9226441631504926E-3</v>
      </c>
      <c r="C79" s="6">
        <v>2.8129395218002813E-3</v>
      </c>
      <c r="D79" s="6">
        <v>2.8129395218002813E-3</v>
      </c>
      <c r="E79" s="6">
        <v>2.8129395218002813E-3</v>
      </c>
      <c r="F79" s="6">
        <v>3.5161744022503515E-3</v>
      </c>
      <c r="G79" s="6">
        <v>4.9226441631504926E-3</v>
      </c>
      <c r="H79" s="12">
        <v>0</v>
      </c>
      <c r="I79" s="19">
        <v>1.6910254861698273E-3</v>
      </c>
      <c r="J79" s="19">
        <v>1.4494504167169948E-3</v>
      </c>
      <c r="K79" s="19">
        <v>1.6910254861698273E-3</v>
      </c>
      <c r="L79" s="19">
        <v>1.6910254861698273E-3</v>
      </c>
      <c r="M79" s="19">
        <v>2.6573257639811573E-3</v>
      </c>
      <c r="N79" s="19">
        <v>9.6630027781132984E-4</v>
      </c>
      <c r="O79" s="19">
        <v>1.3286628819905786E-3</v>
      </c>
      <c r="P79" s="18">
        <v>1.6877637130801688E-3</v>
      </c>
      <c r="Q79" s="18">
        <v>1.9690576652601969E-3</v>
      </c>
      <c r="R79" s="18">
        <v>2.8129395218002813E-3</v>
      </c>
      <c r="S79" s="18">
        <v>1.9690576652601969E-3</v>
      </c>
      <c r="T79" s="18">
        <v>1.9690576652601969E-3</v>
      </c>
      <c r="U79" s="18">
        <v>8.438818565400844E-4</v>
      </c>
      <c r="V79" s="18">
        <v>0</v>
      </c>
    </row>
    <row r="80" spans="1:22" x14ac:dyDescent="0.2">
      <c r="A80" s="27">
        <v>0.80208333333335602</v>
      </c>
      <c r="B80" s="5">
        <v>4.9226441631504926E-3</v>
      </c>
      <c r="C80" s="6">
        <v>2.8129395218002813E-3</v>
      </c>
      <c r="D80" s="6">
        <v>2.8129395218002813E-3</v>
      </c>
      <c r="E80" s="6">
        <v>2.8129395218002813E-3</v>
      </c>
      <c r="F80" s="6">
        <v>3.5161744022503515E-3</v>
      </c>
      <c r="G80" s="6">
        <v>4.9226441631504926E-3</v>
      </c>
      <c r="H80" s="12">
        <v>0</v>
      </c>
      <c r="I80" s="19">
        <v>1.6910254861698273E-3</v>
      </c>
      <c r="J80" s="19">
        <v>1.4494504167169948E-3</v>
      </c>
      <c r="K80" s="19">
        <v>1.6910254861698273E-3</v>
      </c>
      <c r="L80" s="19">
        <v>1.6910254861698273E-3</v>
      </c>
      <c r="M80" s="19">
        <v>2.6573257639811573E-3</v>
      </c>
      <c r="N80" s="19">
        <v>9.6630027781132984E-4</v>
      </c>
      <c r="O80" s="19">
        <v>1.2078753472641623E-3</v>
      </c>
      <c r="P80" s="18">
        <v>1.6877637130801688E-3</v>
      </c>
      <c r="Q80" s="18">
        <v>1.9690576652601969E-3</v>
      </c>
      <c r="R80" s="18">
        <v>2.8129395218002813E-3</v>
      </c>
      <c r="S80" s="18">
        <v>1.6877637130801688E-3</v>
      </c>
      <c r="T80" s="18">
        <v>1.9690576652601969E-3</v>
      </c>
      <c r="U80" s="18">
        <v>8.438818565400844E-4</v>
      </c>
      <c r="V80" s="18">
        <v>0</v>
      </c>
    </row>
    <row r="81" spans="1:22" x14ac:dyDescent="0.2">
      <c r="A81" s="27">
        <v>0.81250000000002298</v>
      </c>
      <c r="B81" s="5">
        <v>4.9226441631504926E-3</v>
      </c>
      <c r="C81" s="6">
        <v>2.4613220815752463E-3</v>
      </c>
      <c r="D81" s="6">
        <v>2.4613220815752463E-3</v>
      </c>
      <c r="E81" s="6">
        <v>2.4613220815752463E-3</v>
      </c>
      <c r="F81" s="6">
        <v>3.5161744022503515E-3</v>
      </c>
      <c r="G81" s="6">
        <v>4.9226441631504926E-3</v>
      </c>
      <c r="H81" s="12">
        <v>0</v>
      </c>
      <c r="I81" s="19">
        <v>1.6910254861698273E-3</v>
      </c>
      <c r="J81" s="19">
        <v>1.4494504167169948E-3</v>
      </c>
      <c r="K81" s="19">
        <v>1.6910254861698273E-3</v>
      </c>
      <c r="L81" s="19">
        <v>1.6910254861698273E-3</v>
      </c>
      <c r="M81" s="19">
        <v>2.6573257639811573E-3</v>
      </c>
      <c r="N81" s="19">
        <v>9.6630027781132984E-4</v>
      </c>
      <c r="O81" s="19">
        <v>1.2078753472641623E-3</v>
      </c>
      <c r="P81" s="18">
        <v>1.6877637130801688E-3</v>
      </c>
      <c r="Q81" s="18">
        <v>1.9690576652601969E-3</v>
      </c>
      <c r="R81" s="18">
        <v>2.8129395218002813E-3</v>
      </c>
      <c r="S81" s="18">
        <v>1.6877637130801688E-3</v>
      </c>
      <c r="T81" s="18">
        <v>1.9690576652601969E-3</v>
      </c>
      <c r="U81" s="18">
        <v>8.438818565400844E-4</v>
      </c>
      <c r="V81" s="18">
        <v>0</v>
      </c>
    </row>
    <row r="82" spans="1:22" x14ac:dyDescent="0.2">
      <c r="A82" s="27">
        <v>0.82291666666669006</v>
      </c>
      <c r="B82" s="5">
        <v>4.9226441631504926E-3</v>
      </c>
      <c r="C82" s="6">
        <v>2.4613220815752463E-3</v>
      </c>
      <c r="D82" s="6">
        <v>2.4613220815752463E-3</v>
      </c>
      <c r="E82" s="6">
        <v>2.4613220815752463E-3</v>
      </c>
      <c r="F82" s="6">
        <v>3.1645569620253164E-3</v>
      </c>
      <c r="G82" s="6">
        <v>4.9226441631504926E-3</v>
      </c>
      <c r="H82" s="12">
        <v>0</v>
      </c>
      <c r="I82" s="19">
        <v>1.8118130208962435E-3</v>
      </c>
      <c r="J82" s="19">
        <v>1.4494504167169948E-3</v>
      </c>
      <c r="K82" s="19">
        <v>1.6910254861698273E-3</v>
      </c>
      <c r="L82" s="19">
        <v>1.570237951443411E-3</v>
      </c>
      <c r="M82" s="19">
        <v>2.6573257639811573E-3</v>
      </c>
      <c r="N82" s="19">
        <v>9.6630027781132984E-4</v>
      </c>
      <c r="O82" s="19">
        <v>1.2078753472641623E-3</v>
      </c>
      <c r="P82" s="18">
        <v>1.6877637130801688E-3</v>
      </c>
      <c r="Q82" s="18">
        <v>1.9690576652601969E-3</v>
      </c>
      <c r="R82" s="18">
        <v>2.8129395218002813E-3</v>
      </c>
      <c r="S82" s="18">
        <v>1.6877637130801688E-3</v>
      </c>
      <c r="T82" s="18">
        <v>1.9690576652601969E-3</v>
      </c>
      <c r="U82" s="18">
        <v>8.438818565400844E-4</v>
      </c>
      <c r="V82" s="18">
        <v>0</v>
      </c>
    </row>
    <row r="83" spans="1:22" x14ac:dyDescent="0.2">
      <c r="A83" s="27">
        <v>0.83333333333335702</v>
      </c>
      <c r="B83" s="5">
        <v>4.2194092827004216E-3</v>
      </c>
      <c r="C83" s="6">
        <v>2.1097046413502108E-3</v>
      </c>
      <c r="D83" s="6">
        <v>2.1097046413502108E-3</v>
      </c>
      <c r="E83" s="6">
        <v>2.1097046413502108E-3</v>
      </c>
      <c r="F83" s="6">
        <v>2.8129395218002813E-3</v>
      </c>
      <c r="G83" s="6">
        <v>4.2194092827004216E-3</v>
      </c>
      <c r="H83" s="12">
        <v>0</v>
      </c>
      <c r="I83" s="19">
        <v>1.6910254861698273E-3</v>
      </c>
      <c r="J83" s="19">
        <v>1.4494504167169948E-3</v>
      </c>
      <c r="K83" s="19">
        <v>1.6910254861698273E-3</v>
      </c>
      <c r="L83" s="19">
        <v>1.570237951443411E-3</v>
      </c>
      <c r="M83" s="19">
        <v>2.6573257639811573E-3</v>
      </c>
      <c r="N83" s="19">
        <v>9.6630027781132984E-4</v>
      </c>
      <c r="O83" s="19">
        <v>1.0870878125377461E-3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</row>
    <row r="84" spans="1:22" x14ac:dyDescent="0.2">
      <c r="A84" s="27">
        <v>0.84375000000002398</v>
      </c>
      <c r="B84" s="5">
        <v>4.2194092827004216E-3</v>
      </c>
      <c r="C84" s="6">
        <v>2.1097046413502108E-3</v>
      </c>
      <c r="D84" s="6">
        <v>2.1097046413502108E-3</v>
      </c>
      <c r="E84" s="6">
        <v>2.1097046413502108E-3</v>
      </c>
      <c r="F84" s="6">
        <v>2.8129395218002813E-3</v>
      </c>
      <c r="G84" s="6">
        <v>4.2194092827004216E-3</v>
      </c>
      <c r="H84" s="12">
        <v>0</v>
      </c>
      <c r="I84" s="19">
        <v>1.6910254861698273E-3</v>
      </c>
      <c r="J84" s="19">
        <v>1.4494504167169948E-3</v>
      </c>
      <c r="K84" s="19">
        <v>1.6910254861698273E-3</v>
      </c>
      <c r="L84" s="19">
        <v>1.6910254861698273E-3</v>
      </c>
      <c r="M84" s="19">
        <v>2.6573257639811573E-3</v>
      </c>
      <c r="N84" s="19">
        <v>9.6630027781132984E-4</v>
      </c>
      <c r="O84" s="19">
        <v>1.0870878125377461E-3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</row>
    <row r="85" spans="1:22" x14ac:dyDescent="0.2">
      <c r="A85" s="27">
        <v>0.85416666666669105</v>
      </c>
      <c r="B85" s="5">
        <v>4.2194092827004216E-3</v>
      </c>
      <c r="C85" s="6">
        <v>1.7580872011251757E-3</v>
      </c>
      <c r="D85" s="6">
        <v>1.7580872011251757E-3</v>
      </c>
      <c r="E85" s="6">
        <v>1.7580872011251757E-3</v>
      </c>
      <c r="F85" s="6">
        <v>2.8129395218002813E-3</v>
      </c>
      <c r="G85" s="6">
        <v>4.2194092827004216E-3</v>
      </c>
      <c r="H85" s="12">
        <v>0</v>
      </c>
      <c r="I85" s="19">
        <v>1.6910254861698273E-3</v>
      </c>
      <c r="J85" s="19">
        <v>1.4494504167169948E-3</v>
      </c>
      <c r="K85" s="19">
        <v>1.8118130208962435E-3</v>
      </c>
      <c r="L85" s="19">
        <v>1.6910254861698273E-3</v>
      </c>
      <c r="M85" s="19">
        <v>2.6573257639811573E-3</v>
      </c>
      <c r="N85" s="19">
        <v>9.6630027781132984E-4</v>
      </c>
      <c r="O85" s="19">
        <v>1.0870878125377461E-3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x14ac:dyDescent="0.2">
      <c r="A86" s="27">
        <v>0.86458333333335802</v>
      </c>
      <c r="B86" s="5">
        <v>4.2194092827004216E-3</v>
      </c>
      <c r="C86" s="6">
        <v>1.7580872011251757E-3</v>
      </c>
      <c r="D86" s="6">
        <v>1.7580872011251757E-3</v>
      </c>
      <c r="E86" s="6">
        <v>1.7580872011251757E-3</v>
      </c>
      <c r="F86" s="6">
        <v>2.8129395218002813E-3</v>
      </c>
      <c r="G86" s="6">
        <v>4.2194092827004216E-3</v>
      </c>
      <c r="H86" s="12">
        <v>0</v>
      </c>
      <c r="I86" s="19">
        <v>1.6910254861698273E-3</v>
      </c>
      <c r="J86" s="19">
        <v>1.4494504167169948E-3</v>
      </c>
      <c r="K86" s="19">
        <v>1.8118130208962435E-3</v>
      </c>
      <c r="L86" s="19">
        <v>1.6910254861698273E-3</v>
      </c>
      <c r="M86" s="19">
        <v>2.7781132987075735E-3</v>
      </c>
      <c r="N86" s="19">
        <v>9.6630027781132984E-4</v>
      </c>
      <c r="O86" s="19">
        <v>9.6630027781132984E-4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</row>
    <row r="87" spans="1:22" x14ac:dyDescent="0.2">
      <c r="A87" s="27">
        <v>0.87500000000002498</v>
      </c>
      <c r="B87" s="5">
        <v>3.5161744022503515E-3</v>
      </c>
      <c r="C87" s="6">
        <v>1.7580872011251757E-3</v>
      </c>
      <c r="D87" s="6">
        <v>1.7580872011251757E-3</v>
      </c>
      <c r="E87" s="6">
        <v>1.7580872011251757E-3</v>
      </c>
      <c r="F87" s="6">
        <v>2.4613220815752463E-3</v>
      </c>
      <c r="G87" s="6">
        <v>3.5161744022503515E-3</v>
      </c>
      <c r="H87" s="12">
        <v>0</v>
      </c>
      <c r="I87" s="19">
        <v>1.6910254861698273E-3</v>
      </c>
      <c r="J87" s="19">
        <v>1.570237951443411E-3</v>
      </c>
      <c r="K87" s="19">
        <v>1.8118130208962435E-3</v>
      </c>
      <c r="L87" s="19">
        <v>1.6910254861698273E-3</v>
      </c>
      <c r="M87" s="19">
        <v>2.7781132987075735E-3</v>
      </c>
      <c r="N87" s="19">
        <v>9.6630027781132984E-4</v>
      </c>
      <c r="O87" s="19">
        <v>9.6630027781132984E-4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</row>
    <row r="88" spans="1:22" x14ac:dyDescent="0.2">
      <c r="A88" s="27">
        <v>0.88541666666669205</v>
      </c>
      <c r="B88" s="5">
        <v>3.5161744022503515E-3</v>
      </c>
      <c r="C88" s="6">
        <v>1.7580872011251757E-3</v>
      </c>
      <c r="D88" s="6">
        <v>1.7580872011251757E-3</v>
      </c>
      <c r="E88" s="6">
        <v>1.7580872011251757E-3</v>
      </c>
      <c r="F88" s="6">
        <v>2.4613220815752463E-3</v>
      </c>
      <c r="G88" s="6">
        <v>3.5161744022503515E-3</v>
      </c>
      <c r="H88" s="12">
        <v>0</v>
      </c>
      <c r="I88" s="19">
        <v>1.6910254861698273E-3</v>
      </c>
      <c r="J88" s="19">
        <v>1.570237951443411E-3</v>
      </c>
      <c r="K88" s="19">
        <v>1.8118130208962435E-3</v>
      </c>
      <c r="L88" s="19">
        <v>1.6910254861698273E-3</v>
      </c>
      <c r="M88" s="19">
        <v>2.6573257639811573E-3</v>
      </c>
      <c r="N88" s="19">
        <v>9.6630027781132984E-4</v>
      </c>
      <c r="O88" s="19">
        <v>9.6630027781132984E-4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</row>
    <row r="89" spans="1:22" x14ac:dyDescent="0.2">
      <c r="A89" s="27">
        <v>0.89583333333335902</v>
      </c>
      <c r="B89" s="5">
        <v>3.5161744022503515E-3</v>
      </c>
      <c r="C89" s="6">
        <v>1.7580872011251757E-3</v>
      </c>
      <c r="D89" s="6">
        <v>1.7580872011251757E-3</v>
      </c>
      <c r="E89" s="6">
        <v>1.7580872011251757E-3</v>
      </c>
      <c r="F89" s="6">
        <v>2.4613220815752463E-3</v>
      </c>
      <c r="G89" s="6">
        <v>3.5161744022503515E-3</v>
      </c>
      <c r="H89" s="12">
        <v>0</v>
      </c>
      <c r="I89" s="19">
        <v>1.6910254861698273E-3</v>
      </c>
      <c r="J89" s="19">
        <v>1.570237951443411E-3</v>
      </c>
      <c r="K89" s="19">
        <v>1.8118130208962435E-3</v>
      </c>
      <c r="L89" s="19">
        <v>1.570237951443411E-3</v>
      </c>
      <c r="M89" s="19">
        <v>2.6573257639811573E-3</v>
      </c>
      <c r="N89" s="19">
        <v>9.6630027781132984E-4</v>
      </c>
      <c r="O89" s="19">
        <v>8.4551274308491367E-4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</row>
    <row r="90" spans="1:22" x14ac:dyDescent="0.2">
      <c r="A90" s="27">
        <v>0.90625000000002598</v>
      </c>
      <c r="B90" s="5">
        <v>3.5161744022503515E-3</v>
      </c>
      <c r="C90" s="6">
        <v>1.7580872011251757E-3</v>
      </c>
      <c r="D90" s="6">
        <v>1.7580872011251757E-3</v>
      </c>
      <c r="E90" s="6">
        <v>1.7580872011251757E-3</v>
      </c>
      <c r="F90" s="6">
        <v>2.4613220815752463E-3</v>
      </c>
      <c r="G90" s="6">
        <v>3.5161744022503515E-3</v>
      </c>
      <c r="H90" s="12">
        <v>0</v>
      </c>
      <c r="I90" s="19">
        <v>1.8118130208962435E-3</v>
      </c>
      <c r="J90" s="19">
        <v>1.570237951443411E-3</v>
      </c>
      <c r="K90" s="19">
        <v>1.8118130208962435E-3</v>
      </c>
      <c r="L90" s="19">
        <v>1.570237951443411E-3</v>
      </c>
      <c r="M90" s="19">
        <v>2.6573257639811573E-3</v>
      </c>
      <c r="N90" s="19">
        <v>9.6630027781132984E-4</v>
      </c>
      <c r="O90" s="19">
        <v>8.4551274308491367E-4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</row>
    <row r="91" spans="1:22" x14ac:dyDescent="0.2">
      <c r="A91" s="27">
        <v>0.91666666666669305</v>
      </c>
      <c r="B91" s="5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12">
        <v>0</v>
      </c>
      <c r="I91" s="19">
        <v>1.8118130208962435E-3</v>
      </c>
      <c r="J91" s="19">
        <v>1.570237951443411E-3</v>
      </c>
      <c r="K91" s="19">
        <v>1.8118130208962435E-3</v>
      </c>
      <c r="L91" s="19">
        <v>1.6910254861698273E-3</v>
      </c>
      <c r="M91" s="19">
        <v>2.6573257639811573E-3</v>
      </c>
      <c r="N91" s="19">
        <v>9.6630027781132984E-4</v>
      </c>
      <c r="O91" s="19">
        <v>8.4551274308491367E-4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x14ac:dyDescent="0.2">
      <c r="A92" s="27">
        <v>0.92708333333336002</v>
      </c>
      <c r="B92" s="5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12">
        <v>0</v>
      </c>
      <c r="I92" s="19">
        <v>1.8118130208962435E-3</v>
      </c>
      <c r="J92" s="19">
        <v>1.570237951443411E-3</v>
      </c>
      <c r="K92" s="19">
        <v>1.8118130208962435E-3</v>
      </c>
      <c r="L92" s="19">
        <v>1.6910254861698273E-3</v>
      </c>
      <c r="M92" s="19">
        <v>2.5365382292547407E-3</v>
      </c>
      <c r="N92" s="19">
        <v>9.6630027781132984E-4</v>
      </c>
      <c r="O92" s="19">
        <v>8.4551274308491367E-4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</row>
    <row r="93" spans="1:22" x14ac:dyDescent="0.2">
      <c r="A93" s="27">
        <v>0.93750000000002698</v>
      </c>
      <c r="B93" s="5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12">
        <v>0</v>
      </c>
      <c r="I93" s="19">
        <v>1.8118130208962435E-3</v>
      </c>
      <c r="J93" s="19">
        <v>1.570237951443411E-3</v>
      </c>
      <c r="K93" s="19">
        <v>1.8118130208962435E-3</v>
      </c>
      <c r="L93" s="19">
        <v>1.6910254861698273E-3</v>
      </c>
      <c r="M93" s="19">
        <v>2.5365382292547407E-3</v>
      </c>
      <c r="N93" s="19">
        <v>9.6630027781132984E-4</v>
      </c>
      <c r="O93" s="19">
        <v>8.4551274308491367E-4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</row>
    <row r="94" spans="1:22" x14ac:dyDescent="0.2">
      <c r="A94" s="27">
        <v>0.94791666666669405</v>
      </c>
      <c r="B94" s="5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12">
        <v>0</v>
      </c>
      <c r="I94" s="19">
        <v>1.8118130208962435E-3</v>
      </c>
      <c r="J94" s="19">
        <v>1.570237951443411E-3</v>
      </c>
      <c r="K94" s="19">
        <v>1.8118130208962435E-3</v>
      </c>
      <c r="L94" s="19">
        <v>1.6910254861698273E-3</v>
      </c>
      <c r="M94" s="19">
        <v>2.5365382292547407E-3</v>
      </c>
      <c r="N94" s="19">
        <v>8.4551274308491367E-4</v>
      </c>
      <c r="O94" s="19">
        <v>8.4551274308491367E-4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</row>
    <row r="95" spans="1:22" x14ac:dyDescent="0.2">
      <c r="A95" s="27">
        <v>0.95833333333336101</v>
      </c>
      <c r="B95" s="5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12">
        <v>0</v>
      </c>
      <c r="I95" s="19">
        <v>1.8118130208962435E-3</v>
      </c>
      <c r="J95" s="19">
        <v>1.570237951443411E-3</v>
      </c>
      <c r="K95" s="19">
        <v>1.8118130208962435E-3</v>
      </c>
      <c r="L95" s="19">
        <v>1.6910254861698273E-3</v>
      </c>
      <c r="M95" s="19">
        <v>2.4157506945283245E-3</v>
      </c>
      <c r="N95" s="19">
        <v>8.4551274308491367E-4</v>
      </c>
      <c r="O95" s="19">
        <v>8.4551274308491367E-4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</row>
    <row r="96" spans="1:22" x14ac:dyDescent="0.2">
      <c r="A96" s="27">
        <v>0.96875000000002798</v>
      </c>
      <c r="B96" s="5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12">
        <v>0</v>
      </c>
      <c r="I96" s="19">
        <v>1.8118130208962435E-3</v>
      </c>
      <c r="J96" s="19">
        <v>1.4494504167169948E-3</v>
      </c>
      <c r="K96" s="19">
        <v>1.8118130208962435E-3</v>
      </c>
      <c r="L96" s="19">
        <v>1.6910254861698273E-3</v>
      </c>
      <c r="M96" s="19">
        <v>2.4157506945283245E-3</v>
      </c>
      <c r="N96" s="19">
        <v>8.4551274308491367E-4</v>
      </c>
      <c r="O96" s="19">
        <v>8.4551274308491367E-4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</row>
    <row r="97" spans="1:22" x14ac:dyDescent="0.2">
      <c r="A97" s="27">
        <v>0.97916666666669505</v>
      </c>
      <c r="B97" s="5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12">
        <v>0</v>
      </c>
      <c r="I97" s="19">
        <v>1.6910254861698273E-3</v>
      </c>
      <c r="J97" s="19">
        <v>1.4494504167169948E-3</v>
      </c>
      <c r="K97" s="19">
        <v>1.8118130208962435E-3</v>
      </c>
      <c r="L97" s="19">
        <v>1.6910254861698273E-3</v>
      </c>
      <c r="M97" s="19">
        <v>2.2949631598019084E-3</v>
      </c>
      <c r="N97" s="19">
        <v>8.4551274308491367E-4</v>
      </c>
      <c r="O97" s="19">
        <v>8.4551274308491367E-4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</row>
    <row r="98" spans="1:22" ht="17" thickBot="1" x14ac:dyDescent="0.25">
      <c r="A98" s="28">
        <v>0.98958333333336201</v>
      </c>
      <c r="B98" s="7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21">
        <v>0</v>
      </c>
      <c r="I98" s="19">
        <v>1.6910254861698273E-3</v>
      </c>
      <c r="J98" s="19">
        <v>1.4494504167169948E-3</v>
      </c>
      <c r="K98" s="19">
        <v>1.8118130208962435E-3</v>
      </c>
      <c r="L98" s="19">
        <v>1.6910254861698273E-3</v>
      </c>
      <c r="M98" s="19">
        <v>2.2949631598019084E-3</v>
      </c>
      <c r="N98" s="19">
        <v>8.4551274308491367E-4</v>
      </c>
      <c r="O98" s="19">
        <v>7.247252083584974E-4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</row>
  </sheetData>
  <mergeCells count="3">
    <mergeCell ref="B1:H1"/>
    <mergeCell ref="I1:O1"/>
    <mergeCell ref="P1:V1"/>
  </mergeCells>
  <pageMargins left="0.7" right="0.7" top="0.78740157499999996" bottom="0.78740157499999996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0F1E-CCBE-8B4F-AE04-7BCC382D0CEE}">
  <dimension ref="A1:N105"/>
  <sheetViews>
    <sheetView zoomScale="89" workbookViewId="0">
      <selection activeCell="K30" sqref="K30"/>
    </sheetView>
  </sheetViews>
  <sheetFormatPr baseColWidth="10" defaultRowHeight="16" x14ac:dyDescent="0.2"/>
  <cols>
    <col min="5" max="5" width="13.6640625" customWidth="1"/>
  </cols>
  <sheetData>
    <row r="1" spans="1:14" x14ac:dyDescent="0.2">
      <c r="A1" s="16" t="s">
        <v>5</v>
      </c>
      <c r="B1" s="17"/>
      <c r="C1" s="17"/>
      <c r="D1" s="17"/>
      <c r="E1" s="17"/>
      <c r="I1" t="s">
        <v>4</v>
      </c>
    </row>
    <row r="2" spans="1:14" x14ac:dyDescent="0.2">
      <c r="A2" t="s">
        <v>37</v>
      </c>
      <c r="B2" s="2">
        <f>LN(I2)</f>
        <v>2.1972245773362196</v>
      </c>
      <c r="C2" t="s">
        <v>39</v>
      </c>
      <c r="D2" s="3">
        <f>LN(I3)</f>
        <v>2.5649493574615367</v>
      </c>
      <c r="E2" t="s">
        <v>30</v>
      </c>
      <c r="F2" s="2">
        <v>0.25</v>
      </c>
      <c r="H2" t="s">
        <v>42</v>
      </c>
      <c r="I2">
        <v>9</v>
      </c>
    </row>
    <row r="3" spans="1:14" x14ac:dyDescent="0.2">
      <c r="A3" t="s">
        <v>38</v>
      </c>
      <c r="B3" s="2">
        <v>0.1</v>
      </c>
      <c r="C3" t="s">
        <v>40</v>
      </c>
      <c r="D3" s="2">
        <v>0.1</v>
      </c>
      <c r="F3" s="2"/>
      <c r="H3" t="s">
        <v>43</v>
      </c>
      <c r="I3">
        <v>13</v>
      </c>
    </row>
    <row r="4" spans="1:14" x14ac:dyDescent="0.2">
      <c r="A4" t="s">
        <v>3</v>
      </c>
      <c r="B4" s="2">
        <v>0.9</v>
      </c>
      <c r="C4" t="s">
        <v>2</v>
      </c>
      <c r="D4" s="2">
        <v>0.1</v>
      </c>
      <c r="E4" t="s">
        <v>31</v>
      </c>
      <c r="F4" s="2">
        <v>23.45</v>
      </c>
    </row>
    <row r="5" spans="1:14" x14ac:dyDescent="0.2">
      <c r="A5" t="s">
        <v>1</v>
      </c>
      <c r="B5" s="2">
        <f>B4+D4</f>
        <v>1</v>
      </c>
      <c r="F5" s="2"/>
    </row>
    <row r="6" spans="1:14" ht="17" thickBot="1" x14ac:dyDescent="0.25"/>
    <row r="7" spans="1:14" ht="17" thickBot="1" x14ac:dyDescent="0.25">
      <c r="G7" s="51" t="s">
        <v>36</v>
      </c>
      <c r="H7" s="32">
        <v>0.7</v>
      </c>
      <c r="I7" s="32">
        <v>0.9</v>
      </c>
      <c r="J7" s="32">
        <v>0.95</v>
      </c>
      <c r="K7" s="32">
        <v>0.9</v>
      </c>
      <c r="L7" s="32">
        <v>0.6</v>
      </c>
      <c r="M7" s="32">
        <v>0</v>
      </c>
      <c r="N7" s="33">
        <v>0</v>
      </c>
    </row>
    <row r="8" spans="1:14" ht="18" thickTop="1" thickBot="1" x14ac:dyDescent="0.25">
      <c r="A8" s="38" t="s">
        <v>0</v>
      </c>
      <c r="B8" s="39" t="s">
        <v>34</v>
      </c>
      <c r="C8" s="39" t="s">
        <v>35</v>
      </c>
      <c r="D8" s="39" t="s">
        <v>32</v>
      </c>
      <c r="E8" s="40" t="s">
        <v>33</v>
      </c>
      <c r="G8" s="52" t="s">
        <v>0</v>
      </c>
      <c r="H8" s="30" t="s">
        <v>9</v>
      </c>
      <c r="I8" s="30" t="s">
        <v>10</v>
      </c>
      <c r="J8" s="30" t="s">
        <v>11</v>
      </c>
      <c r="K8" s="30" t="s">
        <v>12</v>
      </c>
      <c r="L8" s="30" t="s">
        <v>13</v>
      </c>
      <c r="M8" s="30" t="s">
        <v>14</v>
      </c>
      <c r="N8" s="31" t="s">
        <v>15</v>
      </c>
    </row>
    <row r="9" spans="1:14" x14ac:dyDescent="0.2">
      <c r="A9" s="35">
        <v>0</v>
      </c>
      <c r="B9" s="36">
        <f>IF(A9&gt;0,_xlfn.LOGNORM.DIST(A9,$B$2,$B$3,FALSE),0)</f>
        <v>0</v>
      </c>
      <c r="C9" s="36">
        <f>IF(A9&gt;0,_xlfn.LOGNORM.DIST(A9,$D$2,$D$3,FALSE),0)</f>
        <v>0</v>
      </c>
      <c r="D9" s="36">
        <f t="shared" ref="D9" si="0">$B$4*B9 + $D$4*C9</f>
        <v>0</v>
      </c>
      <c r="E9" s="41">
        <f>IF($D$105&gt;0, D9/$D$105, 0)</f>
        <v>0</v>
      </c>
      <c r="G9" s="53">
        <v>0</v>
      </c>
      <c r="H9" s="45">
        <f>E9*$H$7</f>
        <v>0</v>
      </c>
      <c r="I9" s="45">
        <f>E9*$I$7</f>
        <v>0</v>
      </c>
      <c r="J9" s="45">
        <f>E9*$J$7</f>
        <v>0</v>
      </c>
      <c r="K9" s="45">
        <f>E9*$K$7</f>
        <v>0</v>
      </c>
      <c r="L9" s="45">
        <f>E9*$L$7</f>
        <v>0</v>
      </c>
      <c r="M9" s="45">
        <f>E9*$M$7</f>
        <v>0</v>
      </c>
      <c r="N9" s="46">
        <f>E9*$N$7</f>
        <v>0</v>
      </c>
    </row>
    <row r="10" spans="1:14" x14ac:dyDescent="0.2">
      <c r="A10" s="37">
        <f>A9+$F$2</f>
        <v>0.25</v>
      </c>
      <c r="B10" s="34">
        <f t="shared" ref="B10:B73" si="1">IF(A10&gt;0,_xlfn.LOGNORM.DIST(A10,$B$2,$B$3,FALSE),0)</f>
        <v>2.2438601401322145E-278</v>
      </c>
      <c r="C10" s="34">
        <f t="shared" ref="C10:C36" si="2">IF(A10&gt;0,_xlfn.LOGNORM.DIST(A10,$D$2,$D$3,FALSE),0)</f>
        <v>0</v>
      </c>
      <c r="D10" s="34">
        <f t="shared" ref="D10:D36" si="3">$B$4*B10 + $D$4*C10</f>
        <v>2.019474126118993E-278</v>
      </c>
      <c r="E10" s="42">
        <f t="shared" ref="E10:E73" si="4">IF($D$105&gt;0, D10/$D$105, 0)</f>
        <v>5.048685315597782E-279</v>
      </c>
      <c r="G10" s="54">
        <v>1.0416666666666666E-2</v>
      </c>
      <c r="H10" s="47">
        <f t="shared" ref="H10:H73" si="5">E10*$H$7</f>
        <v>3.5340797209184473E-279</v>
      </c>
      <c r="I10" s="47">
        <f t="shared" ref="I10:I73" si="6">E10*$I$7</f>
        <v>4.5438167840380043E-279</v>
      </c>
      <c r="J10" s="47">
        <f t="shared" ref="J10:J73" si="7">E10*$J$7</f>
        <v>4.7962510498178924E-279</v>
      </c>
      <c r="K10" s="47">
        <f t="shared" ref="K10:K73" si="8">E10*$K$7</f>
        <v>4.5438167840380043E-279</v>
      </c>
      <c r="L10" s="47">
        <f t="shared" ref="L10:L73" si="9">E10*$L$7</f>
        <v>3.0292111893586691E-279</v>
      </c>
      <c r="M10" s="47">
        <f t="shared" ref="M10:M73" si="10">E10*$M$7</f>
        <v>0</v>
      </c>
      <c r="N10" s="48">
        <f t="shared" ref="N10:N73" si="11">E10*$N$7</f>
        <v>0</v>
      </c>
    </row>
    <row r="11" spans="1:14" x14ac:dyDescent="0.2">
      <c r="A11" s="37">
        <f t="shared" ref="A11:A74" si="12">A10+$F$2</f>
        <v>0.5</v>
      </c>
      <c r="B11" s="34">
        <f t="shared" si="1"/>
        <v>3.1026315239264167E-181</v>
      </c>
      <c r="C11" s="34">
        <f t="shared" si="2"/>
        <v>2.4885807687756736E-230</v>
      </c>
      <c r="D11" s="34">
        <f t="shared" si="3"/>
        <v>2.7923683715337752E-181</v>
      </c>
      <c r="E11" s="42">
        <f t="shared" si="4"/>
        <v>6.9809209292496684E-182</v>
      </c>
      <c r="G11" s="54">
        <v>2.0833333333333301E-2</v>
      </c>
      <c r="H11" s="47">
        <f t="shared" si="5"/>
        <v>4.8866446504747677E-182</v>
      </c>
      <c r="I11" s="47">
        <f t="shared" si="6"/>
        <v>6.2828288363247013E-182</v>
      </c>
      <c r="J11" s="47">
        <f t="shared" si="7"/>
        <v>6.6318748827871848E-182</v>
      </c>
      <c r="K11" s="47">
        <f t="shared" si="8"/>
        <v>6.2828288363247013E-182</v>
      </c>
      <c r="L11" s="47">
        <f t="shared" si="9"/>
        <v>4.1885525575498006E-182</v>
      </c>
      <c r="M11" s="47">
        <f t="shared" si="10"/>
        <v>0</v>
      </c>
      <c r="N11" s="48">
        <f t="shared" si="11"/>
        <v>0</v>
      </c>
    </row>
    <row r="12" spans="1:14" x14ac:dyDescent="0.2">
      <c r="A12" s="37">
        <f t="shared" si="12"/>
        <v>0.75</v>
      </c>
      <c r="B12" s="34">
        <f t="shared" si="1"/>
        <v>4.3915321943675993E-134</v>
      </c>
      <c r="C12" s="34">
        <f t="shared" si="2"/>
        <v>1.0523242115587791E-176</v>
      </c>
      <c r="D12" s="34">
        <f t="shared" si="3"/>
        <v>3.9523789749308394E-134</v>
      </c>
      <c r="E12" s="42">
        <f t="shared" si="4"/>
        <v>9.8809474379148242E-135</v>
      </c>
      <c r="G12" s="54">
        <v>3.125E-2</v>
      </c>
      <c r="H12" s="47">
        <f t="shared" si="5"/>
        <v>6.9166632065403762E-135</v>
      </c>
      <c r="I12" s="47">
        <f t="shared" si="6"/>
        <v>8.8928526941233416E-135</v>
      </c>
      <c r="J12" s="47">
        <f t="shared" si="7"/>
        <v>9.3869000660190829E-135</v>
      </c>
      <c r="K12" s="47">
        <f t="shared" si="8"/>
        <v>8.8928526941233416E-135</v>
      </c>
      <c r="L12" s="47">
        <f t="shared" si="9"/>
        <v>5.9285684627488948E-135</v>
      </c>
      <c r="M12" s="47">
        <f t="shared" si="10"/>
        <v>0</v>
      </c>
      <c r="N12" s="48">
        <f t="shared" si="11"/>
        <v>0</v>
      </c>
    </row>
    <row r="13" spans="1:14" x14ac:dyDescent="0.2">
      <c r="A13" s="37">
        <f t="shared" si="12"/>
        <v>1</v>
      </c>
      <c r="B13" s="34">
        <f t="shared" si="1"/>
        <v>5.8432617610181614E-105</v>
      </c>
      <c r="C13" s="34">
        <f t="shared" si="2"/>
        <v>5.5016857254822144E-143</v>
      </c>
      <c r="D13" s="34">
        <f t="shared" si="3"/>
        <v>5.2589355849163453E-105</v>
      </c>
      <c r="E13" s="42">
        <f t="shared" si="4"/>
        <v>1.3147338963072877E-105</v>
      </c>
      <c r="G13" s="54">
        <v>4.1666666666666699E-2</v>
      </c>
      <c r="H13" s="47">
        <f t="shared" si="5"/>
        <v>9.2031372741510139E-106</v>
      </c>
      <c r="I13" s="47">
        <f t="shared" si="6"/>
        <v>1.1832605066765589E-105</v>
      </c>
      <c r="J13" s="47">
        <f t="shared" si="7"/>
        <v>1.2489972014919233E-105</v>
      </c>
      <c r="K13" s="47">
        <f t="shared" si="8"/>
        <v>1.1832605066765589E-105</v>
      </c>
      <c r="L13" s="47">
        <f t="shared" si="9"/>
        <v>7.8884033778437262E-106</v>
      </c>
      <c r="M13" s="47">
        <f t="shared" si="10"/>
        <v>0</v>
      </c>
      <c r="N13" s="48">
        <f t="shared" si="11"/>
        <v>0</v>
      </c>
    </row>
    <row r="14" spans="1:14" x14ac:dyDescent="0.2">
      <c r="A14" s="37">
        <f t="shared" si="12"/>
        <v>1.25</v>
      </c>
      <c r="B14" s="34">
        <f t="shared" si="1"/>
        <v>7.6174452767296613E-85</v>
      </c>
      <c r="C14" s="34">
        <f t="shared" si="2"/>
        <v>2.6258571852483767E-119</v>
      </c>
      <c r="D14" s="34">
        <f t="shared" si="3"/>
        <v>6.8557007490566955E-85</v>
      </c>
      <c r="E14" s="42">
        <f t="shared" si="4"/>
        <v>1.7139251873661195E-85</v>
      </c>
      <c r="G14" s="54">
        <v>5.2083333333333301E-2</v>
      </c>
      <c r="H14" s="47">
        <f t="shared" si="5"/>
        <v>1.1997476311562835E-85</v>
      </c>
      <c r="I14" s="47">
        <f t="shared" si="6"/>
        <v>1.5425326686295075E-85</v>
      </c>
      <c r="J14" s="47">
        <f t="shared" si="7"/>
        <v>1.6282289279978133E-85</v>
      </c>
      <c r="K14" s="47">
        <f t="shared" si="8"/>
        <v>1.5425326686295075E-85</v>
      </c>
      <c r="L14" s="47">
        <f t="shared" si="9"/>
        <v>1.0283551124196716E-85</v>
      </c>
      <c r="M14" s="47">
        <f t="shared" si="10"/>
        <v>0</v>
      </c>
      <c r="N14" s="48">
        <f t="shared" si="11"/>
        <v>0</v>
      </c>
    </row>
    <row r="15" spans="1:14" x14ac:dyDescent="0.2">
      <c r="A15" s="37">
        <f t="shared" si="12"/>
        <v>1.5</v>
      </c>
      <c r="B15" s="34">
        <f t="shared" si="1"/>
        <v>5.1502135654966497E-70</v>
      </c>
      <c r="C15" s="34">
        <f t="shared" si="2"/>
        <v>1.4486972203086672E-101</v>
      </c>
      <c r="D15" s="34">
        <f t="shared" si="3"/>
        <v>4.6351922089469846E-70</v>
      </c>
      <c r="E15" s="42">
        <f t="shared" si="4"/>
        <v>1.1587980523056723E-70</v>
      </c>
      <c r="G15" s="54">
        <v>6.25E-2</v>
      </c>
      <c r="H15" s="47">
        <f t="shared" si="5"/>
        <v>8.1115863661397061E-71</v>
      </c>
      <c r="I15" s="47">
        <f t="shared" si="6"/>
        <v>1.042918247075105E-70</v>
      </c>
      <c r="J15" s="47">
        <f t="shared" si="7"/>
        <v>1.1008581496903886E-70</v>
      </c>
      <c r="K15" s="47">
        <f t="shared" si="8"/>
        <v>1.042918247075105E-70</v>
      </c>
      <c r="L15" s="47">
        <f t="shared" si="9"/>
        <v>6.9527883138340333E-71</v>
      </c>
      <c r="M15" s="47">
        <f t="shared" si="10"/>
        <v>0</v>
      </c>
      <c r="N15" s="48">
        <f t="shared" si="11"/>
        <v>0</v>
      </c>
    </row>
    <row r="16" spans="1:14" x14ac:dyDescent="0.2">
      <c r="A16" s="37">
        <f t="shared" si="12"/>
        <v>1.75</v>
      </c>
      <c r="B16" s="34">
        <f t="shared" si="1"/>
        <v>1.3308779129142625E-58</v>
      </c>
      <c r="C16" s="34">
        <f t="shared" si="2"/>
        <v>1.0841514517759327E-87</v>
      </c>
      <c r="D16" s="34">
        <f t="shared" si="3"/>
        <v>1.1977901216228362E-58</v>
      </c>
      <c r="E16" s="42">
        <f t="shared" si="4"/>
        <v>2.994475304235204E-59</v>
      </c>
      <c r="G16" s="54">
        <v>7.2916666666666699E-2</v>
      </c>
      <c r="H16" s="47">
        <f t="shared" si="5"/>
        <v>2.0961327129646427E-59</v>
      </c>
      <c r="I16" s="47">
        <f t="shared" si="6"/>
        <v>2.6950277738116837E-59</v>
      </c>
      <c r="J16" s="47">
        <f t="shared" si="7"/>
        <v>2.8447515390234439E-59</v>
      </c>
      <c r="K16" s="47">
        <f t="shared" si="8"/>
        <v>2.6950277738116837E-59</v>
      </c>
      <c r="L16" s="47">
        <f t="shared" si="9"/>
        <v>1.7966851825411223E-59</v>
      </c>
      <c r="M16" s="47">
        <f t="shared" si="10"/>
        <v>0</v>
      </c>
      <c r="N16" s="48">
        <f t="shared" si="11"/>
        <v>0</v>
      </c>
    </row>
    <row r="17" spans="1:14" x14ac:dyDescent="0.2">
      <c r="A17" s="37">
        <f t="shared" si="12"/>
        <v>2</v>
      </c>
      <c r="B17" s="34">
        <f t="shared" si="1"/>
        <v>1.4988949869652246E-49</v>
      </c>
      <c r="C17" s="34">
        <f t="shared" si="2"/>
        <v>1.6566491436321714E-76</v>
      </c>
      <c r="D17" s="34">
        <f t="shared" si="3"/>
        <v>1.3490054882687021E-49</v>
      </c>
      <c r="E17" s="42">
        <f t="shared" si="4"/>
        <v>3.3725137208723549E-50</v>
      </c>
      <c r="G17" s="54">
        <v>8.3333333333333301E-2</v>
      </c>
      <c r="H17" s="47">
        <f t="shared" si="5"/>
        <v>2.3607596046106484E-50</v>
      </c>
      <c r="I17" s="47">
        <f t="shared" si="6"/>
        <v>3.0352623487851194E-50</v>
      </c>
      <c r="J17" s="47">
        <f t="shared" si="7"/>
        <v>3.2038880348287369E-50</v>
      </c>
      <c r="K17" s="47">
        <f t="shared" si="8"/>
        <v>3.0352623487851194E-50</v>
      </c>
      <c r="L17" s="47">
        <f t="shared" si="9"/>
        <v>2.0235082325234129E-50</v>
      </c>
      <c r="M17" s="47">
        <f t="shared" si="10"/>
        <v>0</v>
      </c>
      <c r="N17" s="48">
        <f t="shared" si="11"/>
        <v>0</v>
      </c>
    </row>
    <row r="18" spans="1:14" x14ac:dyDescent="0.2">
      <c r="A18" s="37">
        <f t="shared" si="12"/>
        <v>2.25</v>
      </c>
      <c r="B18" s="34">
        <f t="shared" si="1"/>
        <v>3.2893417398395916E-42</v>
      </c>
      <c r="C18" s="34">
        <f t="shared" si="2"/>
        <v>2.7642246547215167E-67</v>
      </c>
      <c r="D18" s="34">
        <f t="shared" si="3"/>
        <v>2.9604075658556328E-42</v>
      </c>
      <c r="E18" s="42">
        <f t="shared" si="4"/>
        <v>7.4010189150792995E-43</v>
      </c>
      <c r="G18" s="54">
        <v>9.375E-2</v>
      </c>
      <c r="H18" s="47">
        <f t="shared" si="5"/>
        <v>5.180713240555509E-43</v>
      </c>
      <c r="I18" s="47">
        <f t="shared" si="6"/>
        <v>6.6609170235713698E-43</v>
      </c>
      <c r="J18" s="47">
        <f t="shared" si="7"/>
        <v>7.0309679693253339E-43</v>
      </c>
      <c r="K18" s="47">
        <f t="shared" si="8"/>
        <v>6.6609170235713698E-43</v>
      </c>
      <c r="L18" s="47">
        <f t="shared" si="9"/>
        <v>4.4406113490475794E-43</v>
      </c>
      <c r="M18" s="47">
        <f t="shared" si="10"/>
        <v>0</v>
      </c>
      <c r="N18" s="48">
        <f t="shared" si="11"/>
        <v>0</v>
      </c>
    </row>
    <row r="19" spans="1:14" x14ac:dyDescent="0.2">
      <c r="A19" s="37">
        <f t="shared" si="12"/>
        <v>2.5</v>
      </c>
      <c r="B19" s="34">
        <f t="shared" si="1"/>
        <v>3.7465797352367167E-36</v>
      </c>
      <c r="C19" s="34">
        <f t="shared" si="2"/>
        <v>1.5160573682840594E-59</v>
      </c>
      <c r="D19" s="34">
        <f t="shared" si="3"/>
        <v>3.3719217617130453E-36</v>
      </c>
      <c r="E19" s="42">
        <f t="shared" si="4"/>
        <v>8.4298044047840239E-37</v>
      </c>
      <c r="G19" s="54">
        <v>0.104166666666667</v>
      </c>
      <c r="H19" s="47">
        <f t="shared" si="5"/>
        <v>5.9008630833488164E-37</v>
      </c>
      <c r="I19" s="47">
        <f t="shared" si="6"/>
        <v>7.5868239643056225E-37</v>
      </c>
      <c r="J19" s="47">
        <f t="shared" si="7"/>
        <v>8.0083141845448215E-37</v>
      </c>
      <c r="K19" s="47">
        <f t="shared" si="8"/>
        <v>7.5868239643056225E-37</v>
      </c>
      <c r="L19" s="47">
        <f t="shared" si="9"/>
        <v>5.0578826428704142E-37</v>
      </c>
      <c r="M19" s="47">
        <f t="shared" si="10"/>
        <v>0</v>
      </c>
      <c r="N19" s="48">
        <f t="shared" si="11"/>
        <v>0</v>
      </c>
    </row>
    <row r="20" spans="1:14" x14ac:dyDescent="0.2">
      <c r="A20" s="37">
        <f t="shared" si="12"/>
        <v>2.75</v>
      </c>
      <c r="B20" s="34">
        <f t="shared" si="1"/>
        <v>4.3362490600733659E-31</v>
      </c>
      <c r="C20" s="34">
        <f t="shared" si="2"/>
        <v>5.8385698372254686E-53</v>
      </c>
      <c r="D20" s="34">
        <f t="shared" si="3"/>
        <v>3.9026241540660293E-31</v>
      </c>
      <c r="E20" s="42">
        <f t="shared" si="4"/>
        <v>9.7565603857454012E-32</v>
      </c>
      <c r="G20" s="54">
        <v>0.114583333333333</v>
      </c>
      <c r="H20" s="47">
        <f t="shared" si="5"/>
        <v>6.8295922700217806E-32</v>
      </c>
      <c r="I20" s="47">
        <f t="shared" si="6"/>
        <v>8.7809043471708617E-32</v>
      </c>
      <c r="J20" s="47">
        <f t="shared" si="7"/>
        <v>9.2687323664581309E-32</v>
      </c>
      <c r="K20" s="47">
        <f t="shared" si="8"/>
        <v>8.7809043471708617E-32</v>
      </c>
      <c r="L20" s="47">
        <f t="shared" si="9"/>
        <v>5.8539362314472401E-32</v>
      </c>
      <c r="M20" s="47">
        <f t="shared" si="10"/>
        <v>0</v>
      </c>
      <c r="N20" s="48">
        <f t="shared" si="11"/>
        <v>0</v>
      </c>
    </row>
    <row r="21" spans="1:14" x14ac:dyDescent="0.2">
      <c r="A21" s="37">
        <f t="shared" si="12"/>
        <v>3</v>
      </c>
      <c r="B21" s="34">
        <f t="shared" si="1"/>
        <v>8.2266899560830466E-27</v>
      </c>
      <c r="C21" s="34">
        <f t="shared" si="2"/>
        <v>2.7164168463473863E-47</v>
      </c>
      <c r="D21" s="34">
        <f t="shared" si="3"/>
        <v>7.4040209604747422E-27</v>
      </c>
      <c r="E21" s="42">
        <f t="shared" si="4"/>
        <v>1.8510052402287848E-27</v>
      </c>
      <c r="G21" s="54">
        <v>0.125</v>
      </c>
      <c r="H21" s="47">
        <f t="shared" si="5"/>
        <v>1.2957036681601492E-27</v>
      </c>
      <c r="I21" s="47">
        <f t="shared" si="6"/>
        <v>1.6659047162059062E-27</v>
      </c>
      <c r="J21" s="47">
        <f t="shared" si="7"/>
        <v>1.7584549782173454E-27</v>
      </c>
      <c r="K21" s="47">
        <f t="shared" si="8"/>
        <v>1.6659047162059062E-27</v>
      </c>
      <c r="L21" s="47">
        <f t="shared" si="9"/>
        <v>1.1106031441372708E-27</v>
      </c>
      <c r="M21" s="47">
        <f t="shared" si="10"/>
        <v>0</v>
      </c>
      <c r="N21" s="48">
        <f t="shared" si="11"/>
        <v>0</v>
      </c>
    </row>
    <row r="22" spans="1:14" x14ac:dyDescent="0.2">
      <c r="A22" s="37">
        <f t="shared" si="12"/>
        <v>3.25</v>
      </c>
      <c r="B22" s="34">
        <f t="shared" si="1"/>
        <v>3.6336917261885293E-23</v>
      </c>
      <c r="C22" s="34">
        <f t="shared" si="2"/>
        <v>2.2772365891197952E-42</v>
      </c>
      <c r="D22" s="34">
        <f t="shared" si="3"/>
        <v>3.2703225535696762E-23</v>
      </c>
      <c r="E22" s="42">
        <f t="shared" si="4"/>
        <v>8.1758063844104941E-24</v>
      </c>
      <c r="G22" s="54">
        <v>0.13541666666666699</v>
      </c>
      <c r="H22" s="47">
        <f t="shared" si="5"/>
        <v>5.7230644690873455E-24</v>
      </c>
      <c r="I22" s="47">
        <f t="shared" si="6"/>
        <v>7.3582257459694455E-24</v>
      </c>
      <c r="J22" s="47">
        <f t="shared" si="7"/>
        <v>7.7670160651899683E-24</v>
      </c>
      <c r="K22" s="47">
        <f t="shared" si="8"/>
        <v>7.3582257459694455E-24</v>
      </c>
      <c r="L22" s="47">
        <f t="shared" si="9"/>
        <v>4.9054838306462963E-24</v>
      </c>
      <c r="M22" s="47">
        <f t="shared" si="10"/>
        <v>0</v>
      </c>
      <c r="N22" s="48">
        <f t="shared" si="11"/>
        <v>0</v>
      </c>
    </row>
    <row r="23" spans="1:14" x14ac:dyDescent="0.2">
      <c r="A23" s="37">
        <f t="shared" si="12"/>
        <v>3.5</v>
      </c>
      <c r="B23" s="34">
        <f t="shared" si="1"/>
        <v>4.8656432287197046E-20</v>
      </c>
      <c r="C23" s="34">
        <f t="shared" si="2"/>
        <v>4.6527626230311362E-38</v>
      </c>
      <c r="D23" s="34">
        <f t="shared" si="3"/>
        <v>4.3790789058477345E-20</v>
      </c>
      <c r="E23" s="42">
        <f t="shared" si="4"/>
        <v>1.0947697265270514E-20</v>
      </c>
      <c r="G23" s="54">
        <v>0.14583333333333301</v>
      </c>
      <c r="H23" s="47">
        <f t="shared" si="5"/>
        <v>7.6633880856893591E-21</v>
      </c>
      <c r="I23" s="47">
        <f t="shared" si="6"/>
        <v>9.8529275387434635E-21</v>
      </c>
      <c r="J23" s="47">
        <f t="shared" si="7"/>
        <v>1.0400312402006987E-20</v>
      </c>
      <c r="K23" s="47">
        <f t="shared" si="8"/>
        <v>9.8529275387434635E-21</v>
      </c>
      <c r="L23" s="47">
        <f t="shared" si="9"/>
        <v>6.5686183591623085E-21</v>
      </c>
      <c r="M23" s="47">
        <f t="shared" si="10"/>
        <v>0</v>
      </c>
      <c r="N23" s="48">
        <f t="shared" si="11"/>
        <v>0</v>
      </c>
    </row>
    <row r="24" spans="1:14" x14ac:dyDescent="0.2">
      <c r="A24" s="37">
        <f t="shared" si="12"/>
        <v>3.75</v>
      </c>
      <c r="B24" s="34">
        <f t="shared" si="1"/>
        <v>2.4195021515485936E-17</v>
      </c>
      <c r="C24" s="34">
        <f t="shared" si="2"/>
        <v>2.9249511698825026E-34</v>
      </c>
      <c r="D24" s="34">
        <f t="shared" si="3"/>
        <v>2.1775519363937343E-17</v>
      </c>
      <c r="E24" s="42">
        <f t="shared" si="4"/>
        <v>5.4438798413081417E-18</v>
      </c>
      <c r="G24" s="54">
        <v>0.15625</v>
      </c>
      <c r="H24" s="47">
        <f t="shared" si="5"/>
        <v>3.8107158889156988E-18</v>
      </c>
      <c r="I24" s="47">
        <f t="shared" si="6"/>
        <v>4.8994918571773279E-18</v>
      </c>
      <c r="J24" s="47">
        <f t="shared" si="7"/>
        <v>5.1716858492427344E-18</v>
      </c>
      <c r="K24" s="47">
        <f t="shared" si="8"/>
        <v>4.8994918571773279E-18</v>
      </c>
      <c r="L24" s="47">
        <f t="shared" si="9"/>
        <v>3.266327904784885E-18</v>
      </c>
      <c r="M24" s="47">
        <f t="shared" si="10"/>
        <v>0</v>
      </c>
      <c r="N24" s="48">
        <f t="shared" si="11"/>
        <v>0</v>
      </c>
    </row>
    <row r="25" spans="1:14" x14ac:dyDescent="0.2">
      <c r="A25" s="37">
        <f t="shared" si="12"/>
        <v>4</v>
      </c>
      <c r="B25" s="34">
        <f t="shared" si="1"/>
        <v>5.2369423914824249E-15</v>
      </c>
      <c r="C25" s="34">
        <f t="shared" si="2"/>
        <v>6.794476899080458E-31</v>
      </c>
      <c r="D25" s="34">
        <f t="shared" si="3"/>
        <v>4.7132481523341828E-15</v>
      </c>
      <c r="E25" s="42">
        <f t="shared" si="4"/>
        <v>1.1783120381536326E-15</v>
      </c>
      <c r="G25" s="54">
        <v>0.16666666666666699</v>
      </c>
      <c r="H25" s="47">
        <f t="shared" si="5"/>
        <v>8.2481842670754282E-16</v>
      </c>
      <c r="I25" s="47">
        <f t="shared" si="6"/>
        <v>1.0604808343382694E-15</v>
      </c>
      <c r="J25" s="47">
        <f t="shared" si="7"/>
        <v>1.119396436245951E-15</v>
      </c>
      <c r="K25" s="47">
        <f t="shared" si="8"/>
        <v>1.0604808343382694E-15</v>
      </c>
      <c r="L25" s="47">
        <f t="shared" si="9"/>
        <v>7.0698722289217952E-16</v>
      </c>
      <c r="M25" s="47">
        <f t="shared" si="10"/>
        <v>0</v>
      </c>
      <c r="N25" s="48">
        <f t="shared" si="11"/>
        <v>0</v>
      </c>
    </row>
    <row r="26" spans="1:14" x14ac:dyDescent="0.2">
      <c r="A26" s="37">
        <f t="shared" si="12"/>
        <v>4.25</v>
      </c>
      <c r="B26" s="34">
        <f t="shared" si="1"/>
        <v>5.5980008133528477E-13</v>
      </c>
      <c r="C26" s="34">
        <f t="shared" si="2"/>
        <v>6.7498093675225039E-28</v>
      </c>
      <c r="D26" s="34">
        <f t="shared" si="3"/>
        <v>5.0382007320175641E-13</v>
      </c>
      <c r="E26" s="42">
        <f t="shared" si="4"/>
        <v>1.2595501830793101E-13</v>
      </c>
      <c r="G26" s="54">
        <v>0.17708333333333301</v>
      </c>
      <c r="H26" s="47">
        <f t="shared" si="5"/>
        <v>8.8168512815551699E-14</v>
      </c>
      <c r="I26" s="47">
        <f t="shared" si="6"/>
        <v>1.1335951647713791E-13</v>
      </c>
      <c r="J26" s="47">
        <f t="shared" si="7"/>
        <v>1.1965726739253445E-13</v>
      </c>
      <c r="K26" s="47">
        <f t="shared" si="8"/>
        <v>1.1335951647713791E-13</v>
      </c>
      <c r="L26" s="47">
        <f t="shared" si="9"/>
        <v>7.5573010984758609E-14</v>
      </c>
      <c r="M26" s="47">
        <f t="shared" si="10"/>
        <v>0</v>
      </c>
      <c r="N26" s="48">
        <f t="shared" si="11"/>
        <v>0</v>
      </c>
    </row>
    <row r="27" spans="1:14" x14ac:dyDescent="0.2">
      <c r="A27" s="37">
        <f t="shared" si="12"/>
        <v>4.5</v>
      </c>
      <c r="B27" s="34">
        <f t="shared" si="1"/>
        <v>3.2718464528867822E-11</v>
      </c>
      <c r="C27" s="34">
        <f t="shared" si="2"/>
        <v>3.2275735740116923E-25</v>
      </c>
      <c r="D27" s="34">
        <f t="shared" si="3"/>
        <v>2.9446618075981074E-11</v>
      </c>
      <c r="E27" s="42">
        <f t="shared" si="4"/>
        <v>7.361654519433146E-12</v>
      </c>
      <c r="G27" s="54">
        <v>0.1875</v>
      </c>
      <c r="H27" s="47">
        <f t="shared" si="5"/>
        <v>5.153158163603202E-12</v>
      </c>
      <c r="I27" s="47">
        <f t="shared" si="6"/>
        <v>6.6254890674898319E-12</v>
      </c>
      <c r="J27" s="47">
        <f t="shared" si="7"/>
        <v>6.9935717934614881E-12</v>
      </c>
      <c r="K27" s="47">
        <f t="shared" si="8"/>
        <v>6.6254890674898319E-12</v>
      </c>
      <c r="L27" s="47">
        <f t="shared" si="9"/>
        <v>4.4169927116598871E-12</v>
      </c>
      <c r="M27" s="47">
        <f t="shared" si="10"/>
        <v>0</v>
      </c>
      <c r="N27" s="48">
        <f t="shared" si="11"/>
        <v>0</v>
      </c>
    </row>
    <row r="28" spans="1:14" x14ac:dyDescent="0.2">
      <c r="A28" s="37">
        <f t="shared" si="12"/>
        <v>4.75</v>
      </c>
      <c r="B28" s="34">
        <f t="shared" si="1"/>
        <v>1.136107629858751E-9</v>
      </c>
      <c r="C28" s="34">
        <f t="shared" si="2"/>
        <v>8.1839090478880019E-23</v>
      </c>
      <c r="D28" s="34">
        <f t="shared" si="3"/>
        <v>1.0224968668728841E-9</v>
      </c>
      <c r="E28" s="42">
        <f t="shared" si="4"/>
        <v>2.5562421673342573E-10</v>
      </c>
      <c r="G28" s="54">
        <v>0.19791666666666699</v>
      </c>
      <c r="H28" s="47">
        <f t="shared" si="5"/>
        <v>1.78936951713398E-10</v>
      </c>
      <c r="I28" s="47">
        <f t="shared" si="6"/>
        <v>2.3006179506008316E-10</v>
      </c>
      <c r="J28" s="47">
        <f t="shared" si="7"/>
        <v>2.4284300589675442E-10</v>
      </c>
      <c r="K28" s="47">
        <f t="shared" si="8"/>
        <v>2.3006179506008316E-10</v>
      </c>
      <c r="L28" s="47">
        <f t="shared" si="9"/>
        <v>1.5337453004005545E-10</v>
      </c>
      <c r="M28" s="47">
        <f t="shared" si="10"/>
        <v>0</v>
      </c>
      <c r="N28" s="48">
        <f t="shared" si="11"/>
        <v>0</v>
      </c>
    </row>
    <row r="29" spans="1:14" x14ac:dyDescent="0.2">
      <c r="A29" s="37">
        <f t="shared" si="12"/>
        <v>5</v>
      </c>
      <c r="B29" s="34">
        <f t="shared" si="1"/>
        <v>2.5098706538114742E-8</v>
      </c>
      <c r="C29" s="34">
        <f t="shared" si="2"/>
        <v>1.192204874333383E-20</v>
      </c>
      <c r="D29" s="34">
        <f t="shared" si="3"/>
        <v>2.258883588430446E-8</v>
      </c>
      <c r="E29" s="42">
        <f t="shared" si="4"/>
        <v>5.6472089714120148E-9</v>
      </c>
      <c r="G29" s="54">
        <v>0.20833333333333301</v>
      </c>
      <c r="H29" s="47">
        <f t="shared" si="5"/>
        <v>3.9530462799884105E-9</v>
      </c>
      <c r="I29" s="47">
        <f t="shared" si="6"/>
        <v>5.0824880742708131E-9</v>
      </c>
      <c r="J29" s="47">
        <f t="shared" si="7"/>
        <v>5.364848522841414E-9</v>
      </c>
      <c r="K29" s="47">
        <f t="shared" si="8"/>
        <v>5.0824880742708131E-9</v>
      </c>
      <c r="L29" s="47">
        <f t="shared" si="9"/>
        <v>3.3883253828472087E-9</v>
      </c>
      <c r="M29" s="47">
        <f t="shared" si="10"/>
        <v>0</v>
      </c>
      <c r="N29" s="48">
        <f t="shared" si="11"/>
        <v>0</v>
      </c>
    </row>
    <row r="30" spans="1:14" x14ac:dyDescent="0.2">
      <c r="A30" s="37">
        <f t="shared" si="12"/>
        <v>5.25</v>
      </c>
      <c r="B30" s="34">
        <f t="shared" si="1"/>
        <v>3.7346449134556705E-7</v>
      </c>
      <c r="C30" s="34">
        <f t="shared" si="2"/>
        <v>1.0669201132010141E-18</v>
      </c>
      <c r="D30" s="34">
        <f t="shared" si="3"/>
        <v>3.3611804221111705E-7</v>
      </c>
      <c r="E30" s="42">
        <f t="shared" si="4"/>
        <v>8.4029510557777404E-8</v>
      </c>
      <c r="G30" s="54">
        <v>0.21875</v>
      </c>
      <c r="H30" s="47">
        <f>E30*$H$7</f>
        <v>5.8820657390444179E-8</v>
      </c>
      <c r="I30" s="47">
        <f t="shared" si="6"/>
        <v>7.5626559501999669E-8</v>
      </c>
      <c r="J30" s="47">
        <f t="shared" si="7"/>
        <v>7.9828035029888537E-8</v>
      </c>
      <c r="K30" s="47">
        <f t="shared" si="8"/>
        <v>7.5626559501999669E-8</v>
      </c>
      <c r="L30" s="47">
        <f t="shared" si="9"/>
        <v>5.0417706334666444E-8</v>
      </c>
      <c r="M30" s="47">
        <f t="shared" si="10"/>
        <v>0</v>
      </c>
      <c r="N30" s="48">
        <f t="shared" si="11"/>
        <v>0</v>
      </c>
    </row>
    <row r="31" spans="1:14" x14ac:dyDescent="0.2">
      <c r="A31" s="37">
        <f t="shared" si="12"/>
        <v>5.5</v>
      </c>
      <c r="B31" s="34">
        <f t="shared" si="1"/>
        <v>3.9265241989705087E-6</v>
      </c>
      <c r="C31" s="34">
        <f t="shared" si="2"/>
        <v>6.2061095235324965E-17</v>
      </c>
      <c r="D31" s="34">
        <f t="shared" si="3"/>
        <v>3.5338717790796643E-6</v>
      </c>
      <c r="E31" s="42">
        <f t="shared" si="4"/>
        <v>8.8346794482246535E-7</v>
      </c>
      <c r="G31" s="54">
        <v>0.22916666666666699</v>
      </c>
      <c r="H31" s="47">
        <f t="shared" si="5"/>
        <v>6.1842756137572572E-7</v>
      </c>
      <c r="I31" s="47">
        <f t="shared" si="6"/>
        <v>7.9512115034021881E-7</v>
      </c>
      <c r="J31" s="47">
        <f t="shared" si="7"/>
        <v>8.3929454758134208E-7</v>
      </c>
      <c r="K31" s="47">
        <f t="shared" si="8"/>
        <v>7.9512115034021881E-7</v>
      </c>
      <c r="L31" s="47">
        <f t="shared" si="9"/>
        <v>5.3008076689347917E-7</v>
      </c>
      <c r="M31" s="47">
        <f t="shared" si="10"/>
        <v>0</v>
      </c>
      <c r="N31" s="48">
        <f t="shared" si="11"/>
        <v>0</v>
      </c>
    </row>
    <row r="32" spans="1:14" x14ac:dyDescent="0.2">
      <c r="A32" s="37">
        <f t="shared" si="12"/>
        <v>5.75</v>
      </c>
      <c r="B32" s="34">
        <f t="shared" si="1"/>
        <v>3.0375904019491261E-5</v>
      </c>
      <c r="C32" s="34">
        <f t="shared" si="2"/>
        <v>2.4617206238001725E-15</v>
      </c>
      <c r="D32" s="34">
        <f t="shared" si="3"/>
        <v>2.7338313617788306E-5</v>
      </c>
      <c r="E32" s="42">
        <f t="shared" si="4"/>
        <v>6.8345784048536023E-6</v>
      </c>
      <c r="G32" s="54">
        <v>0.23958333333333301</v>
      </c>
      <c r="H32" s="47">
        <f t="shared" si="5"/>
        <v>4.7842048833975209E-6</v>
      </c>
      <c r="I32" s="47">
        <f t="shared" si="6"/>
        <v>6.1511205643682424E-6</v>
      </c>
      <c r="J32" s="47">
        <f t="shared" si="7"/>
        <v>6.4928494846109219E-6</v>
      </c>
      <c r="K32" s="47">
        <f t="shared" si="8"/>
        <v>6.1511205643682424E-6</v>
      </c>
      <c r="L32" s="47">
        <f t="shared" si="9"/>
        <v>4.100747042912161E-6</v>
      </c>
      <c r="M32" s="47">
        <f t="shared" si="10"/>
        <v>0</v>
      </c>
      <c r="N32" s="48">
        <f t="shared" si="11"/>
        <v>0</v>
      </c>
    </row>
    <row r="33" spans="1:14" x14ac:dyDescent="0.2">
      <c r="A33" s="37">
        <f t="shared" si="12"/>
        <v>6</v>
      </c>
      <c r="B33" s="34">
        <f t="shared" si="1"/>
        <v>1.7898463315639987E-4</v>
      </c>
      <c r="C33" s="34">
        <f t="shared" si="2"/>
        <v>6.9375468288394949E-14</v>
      </c>
      <c r="D33" s="34">
        <f t="shared" si="3"/>
        <v>1.6108616984769744E-4</v>
      </c>
      <c r="E33" s="42">
        <f t="shared" si="4"/>
        <v>4.0271542464319742E-5</v>
      </c>
      <c r="G33" s="54">
        <v>0.25</v>
      </c>
      <c r="H33" s="47">
        <f t="shared" si="5"/>
        <v>2.8190079725023817E-5</v>
      </c>
      <c r="I33" s="47">
        <f t="shared" si="6"/>
        <v>3.6244388217887769E-5</v>
      </c>
      <c r="J33" s="47">
        <f t="shared" si="7"/>
        <v>3.8257965341103755E-5</v>
      </c>
      <c r="K33" s="47">
        <f t="shared" si="8"/>
        <v>3.6244388217887769E-5</v>
      </c>
      <c r="L33" s="47">
        <f t="shared" si="9"/>
        <v>2.4162925478591844E-5</v>
      </c>
      <c r="M33" s="47">
        <f t="shared" si="10"/>
        <v>0</v>
      </c>
      <c r="N33" s="48">
        <f t="shared" si="11"/>
        <v>0</v>
      </c>
    </row>
    <row r="34" spans="1:14" x14ac:dyDescent="0.2">
      <c r="A34" s="37">
        <f t="shared" si="12"/>
        <v>6.25</v>
      </c>
      <c r="B34" s="34">
        <f t="shared" si="1"/>
        <v>8.2744748222750037E-4</v>
      </c>
      <c r="C34" s="34">
        <f t="shared" si="2"/>
        <v>1.4390017224365423E-12</v>
      </c>
      <c r="D34" s="34">
        <f t="shared" si="3"/>
        <v>7.4470273414865059E-4</v>
      </c>
      <c r="E34" s="42">
        <f t="shared" si="4"/>
        <v>1.8617568354823653E-4</v>
      </c>
      <c r="G34" s="54">
        <v>0.26041666666666702</v>
      </c>
      <c r="H34" s="47">
        <f t="shared" si="5"/>
        <v>1.3032297848376555E-4</v>
      </c>
      <c r="I34" s="47">
        <f t="shared" si="6"/>
        <v>1.6755811519341288E-4</v>
      </c>
      <c r="J34" s="47">
        <f t="shared" si="7"/>
        <v>1.7686689937082469E-4</v>
      </c>
      <c r="K34" s="47">
        <f t="shared" si="8"/>
        <v>1.6755811519341288E-4</v>
      </c>
      <c r="L34" s="47">
        <f t="shared" si="9"/>
        <v>1.117054101289419E-4</v>
      </c>
      <c r="M34" s="47">
        <f t="shared" si="10"/>
        <v>0</v>
      </c>
      <c r="N34" s="48">
        <f t="shared" si="11"/>
        <v>0</v>
      </c>
    </row>
    <row r="35" spans="1:14" x14ac:dyDescent="0.2">
      <c r="A35" s="37">
        <f t="shared" si="12"/>
        <v>6.5</v>
      </c>
      <c r="B35" s="34">
        <f t="shared" si="1"/>
        <v>3.0790241939403582E-3</v>
      </c>
      <c r="C35" s="34">
        <f t="shared" si="2"/>
        <v>2.2651244673831532E-11</v>
      </c>
      <c r="D35" s="34">
        <f t="shared" si="3"/>
        <v>2.7711217768114469E-3</v>
      </c>
      <c r="E35" s="42">
        <f t="shared" si="4"/>
        <v>6.9278044424406877E-4</v>
      </c>
      <c r="G35" s="54">
        <v>0.27083333333333298</v>
      </c>
      <c r="H35" s="47">
        <f t="shared" si="5"/>
        <v>4.8494631097084813E-4</v>
      </c>
      <c r="I35" s="47">
        <f t="shared" si="6"/>
        <v>6.2350239981966192E-4</v>
      </c>
      <c r="J35" s="47">
        <f t="shared" si="7"/>
        <v>6.5814142203186529E-4</v>
      </c>
      <c r="K35" s="47">
        <f t="shared" si="8"/>
        <v>6.2350239981966192E-4</v>
      </c>
      <c r="L35" s="47">
        <f t="shared" si="9"/>
        <v>4.1566826654644123E-4</v>
      </c>
      <c r="M35" s="47">
        <f t="shared" si="10"/>
        <v>0</v>
      </c>
      <c r="N35" s="48">
        <f t="shared" si="11"/>
        <v>0</v>
      </c>
    </row>
    <row r="36" spans="1:14" x14ac:dyDescent="0.2">
      <c r="A36" s="37">
        <f t="shared" si="12"/>
        <v>6.75</v>
      </c>
      <c r="B36" s="34">
        <f t="shared" si="1"/>
        <v>9.4291937386722091E-3</v>
      </c>
      <c r="C36" s="34">
        <f t="shared" si="2"/>
        <v>2.7788797103484887E-10</v>
      </c>
      <c r="D36" s="34">
        <f t="shared" si="3"/>
        <v>8.4862743925937859E-3</v>
      </c>
      <c r="E36" s="42">
        <f t="shared" si="4"/>
        <v>2.1215685982746389E-3</v>
      </c>
      <c r="G36" s="54">
        <v>0.28125</v>
      </c>
      <c r="H36" s="47">
        <f t="shared" si="5"/>
        <v>1.4850980187922471E-3</v>
      </c>
      <c r="I36" s="47">
        <f t="shared" si="6"/>
        <v>1.9094117384471751E-3</v>
      </c>
      <c r="J36" s="47">
        <f t="shared" si="7"/>
        <v>2.0154901683609068E-3</v>
      </c>
      <c r="K36" s="47">
        <f t="shared" si="8"/>
        <v>1.9094117384471751E-3</v>
      </c>
      <c r="L36" s="47">
        <f t="shared" si="9"/>
        <v>1.2729411589647833E-3</v>
      </c>
      <c r="M36" s="47">
        <f t="shared" si="10"/>
        <v>0</v>
      </c>
      <c r="N36" s="48">
        <f t="shared" si="11"/>
        <v>0</v>
      </c>
    </row>
    <row r="37" spans="1:14" x14ac:dyDescent="0.2">
      <c r="A37" s="37">
        <f t="shared" si="12"/>
        <v>7</v>
      </c>
      <c r="B37" s="34">
        <f t="shared" si="1"/>
        <v>2.4228862713616389E-2</v>
      </c>
      <c r="C37" s="34">
        <f t="shared" ref="C37:C64" si="13">IF(A37&gt;0,_xlfn.LOGNORM.DIST(A37,$D$2,$D$3,FALSE),0)</f>
        <v>2.719709764727427E-9</v>
      </c>
      <c r="D37" s="34">
        <f t="shared" ref="D37:D100" si="14">$B$4*B37 + $D$4*C37</f>
        <v>2.1805976714225728E-2</v>
      </c>
      <c r="E37" s="42">
        <f t="shared" si="4"/>
        <v>5.4514941788806909E-3</v>
      </c>
      <c r="G37" s="54">
        <v>0.29166666666666702</v>
      </c>
      <c r="H37" s="47">
        <f t="shared" si="5"/>
        <v>3.8160459252164834E-3</v>
      </c>
      <c r="I37" s="47">
        <f t="shared" si="6"/>
        <v>4.9063447609926222E-3</v>
      </c>
      <c r="J37" s="47">
        <f t="shared" si="7"/>
        <v>5.1789194699366561E-3</v>
      </c>
      <c r="K37" s="47">
        <f t="shared" si="8"/>
        <v>4.9063447609926222E-3</v>
      </c>
      <c r="L37" s="47">
        <f t="shared" si="9"/>
        <v>3.2708965073284147E-3</v>
      </c>
      <c r="M37" s="47">
        <f t="shared" si="10"/>
        <v>0</v>
      </c>
      <c r="N37" s="48">
        <f t="shared" si="11"/>
        <v>0</v>
      </c>
    </row>
    <row r="38" spans="1:14" x14ac:dyDescent="0.2">
      <c r="A38" s="37">
        <f t="shared" si="12"/>
        <v>7.25</v>
      </c>
      <c r="B38" s="34">
        <f t="shared" si="1"/>
        <v>5.3131965720363987E-2</v>
      </c>
      <c r="C38" s="34">
        <f t="shared" si="13"/>
        <v>2.1674882423791398E-8</v>
      </c>
      <c r="D38" s="34">
        <f t="shared" si="14"/>
        <v>4.7818771315815835E-2</v>
      </c>
      <c r="E38" s="42">
        <f t="shared" si="4"/>
        <v>1.1954692829665032E-2</v>
      </c>
      <c r="G38" s="54">
        <v>0.30208333333333298</v>
      </c>
      <c r="H38" s="47">
        <f t="shared" si="5"/>
        <v>8.3682849807655228E-3</v>
      </c>
      <c r="I38" s="47">
        <f t="shared" si="6"/>
        <v>1.0759223546698529E-2</v>
      </c>
      <c r="J38" s="47">
        <f t="shared" si="7"/>
        <v>1.135695818818178E-2</v>
      </c>
      <c r="K38" s="47">
        <f t="shared" si="8"/>
        <v>1.0759223546698529E-2</v>
      </c>
      <c r="L38" s="47">
        <f t="shared" si="9"/>
        <v>7.172815697799019E-3</v>
      </c>
      <c r="M38" s="47">
        <f t="shared" si="10"/>
        <v>0</v>
      </c>
      <c r="N38" s="48">
        <f t="shared" si="11"/>
        <v>0</v>
      </c>
    </row>
    <row r="39" spans="1:14" x14ac:dyDescent="0.2">
      <c r="A39" s="37">
        <f t="shared" si="12"/>
        <v>7.5</v>
      </c>
      <c r="B39" s="34">
        <f t="shared" si="1"/>
        <v>0.10093142386890724</v>
      </c>
      <c r="C39" s="34">
        <f t="shared" si="13"/>
        <v>1.4323129029130131E-7</v>
      </c>
      <c r="D39" s="34">
        <f t="shared" si="14"/>
        <v>9.0838295805145547E-2</v>
      </c>
      <c r="E39" s="42">
        <f t="shared" si="4"/>
        <v>2.2709573952637171E-2</v>
      </c>
      <c r="G39" s="54">
        <v>0.3125</v>
      </c>
      <c r="H39" s="47">
        <f t="shared" si="5"/>
        <v>1.589670176684602E-2</v>
      </c>
      <c r="I39" s="47">
        <f t="shared" si="6"/>
        <v>2.0438616557373453E-2</v>
      </c>
      <c r="J39" s="47">
        <f t="shared" si="7"/>
        <v>2.157409525500531E-2</v>
      </c>
      <c r="K39" s="47">
        <f t="shared" si="8"/>
        <v>2.0438616557373453E-2</v>
      </c>
      <c r="L39" s="47">
        <f t="shared" si="9"/>
        <v>1.3625744371582302E-2</v>
      </c>
      <c r="M39" s="47">
        <f t="shared" si="10"/>
        <v>0</v>
      </c>
      <c r="N39" s="48">
        <f t="shared" si="11"/>
        <v>0</v>
      </c>
    </row>
    <row r="40" spans="1:14" x14ac:dyDescent="0.2">
      <c r="A40" s="37">
        <f t="shared" si="12"/>
        <v>7.75</v>
      </c>
      <c r="B40" s="34">
        <f t="shared" si="1"/>
        <v>0.16829561096007289</v>
      </c>
      <c r="C40" s="34">
        <f t="shared" si="13"/>
        <v>7.9751806354743895E-7</v>
      </c>
      <c r="D40" s="34">
        <f t="shared" si="14"/>
        <v>0.15146612961587197</v>
      </c>
      <c r="E40" s="42">
        <f t="shared" si="4"/>
        <v>3.7866532406220323E-2</v>
      </c>
      <c r="G40" s="54">
        <v>0.32291666666666702</v>
      </c>
      <c r="H40" s="47">
        <f t="shared" si="5"/>
        <v>2.6506572684354225E-2</v>
      </c>
      <c r="I40" s="47">
        <f t="shared" si="6"/>
        <v>3.4079879165598292E-2</v>
      </c>
      <c r="J40" s="47">
        <f t="shared" si="7"/>
        <v>3.5973205785909304E-2</v>
      </c>
      <c r="K40" s="47">
        <f t="shared" si="8"/>
        <v>3.4079879165598292E-2</v>
      </c>
      <c r="L40" s="47">
        <f t="shared" si="9"/>
        <v>2.2719919443732191E-2</v>
      </c>
      <c r="M40" s="47">
        <f t="shared" si="10"/>
        <v>0</v>
      </c>
      <c r="N40" s="48">
        <f t="shared" si="11"/>
        <v>0</v>
      </c>
    </row>
    <row r="41" spans="1:14" x14ac:dyDescent="0.2">
      <c r="A41" s="37">
        <f t="shared" si="12"/>
        <v>8</v>
      </c>
      <c r="B41" s="34">
        <f t="shared" si="1"/>
        <v>0.24921553455475057</v>
      </c>
      <c r="C41" s="34">
        <f t="shared" si="13"/>
        <v>3.7955283234293782E-6</v>
      </c>
      <c r="D41" s="34">
        <f t="shared" si="14"/>
        <v>0.22429436065210784</v>
      </c>
      <c r="E41" s="42">
        <f t="shared" si="4"/>
        <v>5.6073590166362257E-2</v>
      </c>
      <c r="G41" s="54">
        <v>0.33333333333333298</v>
      </c>
      <c r="H41" s="47">
        <f t="shared" si="5"/>
        <v>3.9251513116453578E-2</v>
      </c>
      <c r="I41" s="47">
        <f t="shared" si="6"/>
        <v>5.046623114972603E-2</v>
      </c>
      <c r="J41" s="47">
        <f t="shared" si="7"/>
        <v>5.3269910658044144E-2</v>
      </c>
      <c r="K41" s="47">
        <f t="shared" si="8"/>
        <v>5.046623114972603E-2</v>
      </c>
      <c r="L41" s="47">
        <f t="shared" si="9"/>
        <v>3.3644154099817351E-2</v>
      </c>
      <c r="M41" s="47">
        <f t="shared" si="10"/>
        <v>0</v>
      </c>
      <c r="N41" s="48">
        <f t="shared" si="11"/>
        <v>0</v>
      </c>
    </row>
    <row r="42" spans="1:14" x14ac:dyDescent="0.2">
      <c r="A42" s="37">
        <f t="shared" si="12"/>
        <v>8.25</v>
      </c>
      <c r="B42" s="34">
        <f t="shared" si="1"/>
        <v>0.3311725875886809</v>
      </c>
      <c r="C42" s="34">
        <f t="shared" si="13"/>
        <v>1.5637866113040648E-5</v>
      </c>
      <c r="D42" s="34">
        <f t="shared" si="14"/>
        <v>0.29805689261642415</v>
      </c>
      <c r="E42" s="42">
        <f t="shared" si="4"/>
        <v>7.4514223158538201E-2</v>
      </c>
      <c r="G42" s="54">
        <v>0.34375</v>
      </c>
      <c r="H42" s="47">
        <f t="shared" si="5"/>
        <v>5.2159956210976736E-2</v>
      </c>
      <c r="I42" s="47">
        <f t="shared" si="6"/>
        <v>6.7062800842684386E-2</v>
      </c>
      <c r="J42" s="47">
        <f t="shared" si="7"/>
        <v>7.0788512000611287E-2</v>
      </c>
      <c r="K42" s="47">
        <f t="shared" si="8"/>
        <v>6.7062800842684386E-2</v>
      </c>
      <c r="L42" s="47">
        <f t="shared" si="9"/>
        <v>4.4708533895122922E-2</v>
      </c>
      <c r="M42" s="47">
        <f t="shared" si="10"/>
        <v>0</v>
      </c>
      <c r="N42" s="48">
        <f t="shared" si="11"/>
        <v>0</v>
      </c>
    </row>
    <row r="43" spans="1:14" x14ac:dyDescent="0.2">
      <c r="A43" s="37">
        <f t="shared" si="12"/>
        <v>8.5</v>
      </c>
      <c r="B43" s="34">
        <f t="shared" si="1"/>
        <v>0.39860918937515949</v>
      </c>
      <c r="C43" s="34">
        <f t="shared" si="13"/>
        <v>5.6418918042750023E-5</v>
      </c>
      <c r="D43" s="34">
        <f t="shared" si="14"/>
        <v>0.35875391232944787</v>
      </c>
      <c r="E43" s="42">
        <f t="shared" si="4"/>
        <v>8.9688478087696699E-2</v>
      </c>
      <c r="G43" s="54">
        <v>0.35416666666666702</v>
      </c>
      <c r="H43" s="47">
        <f t="shared" si="5"/>
        <v>6.2781934661387692E-2</v>
      </c>
      <c r="I43" s="47">
        <f t="shared" si="6"/>
        <v>8.0719630278927035E-2</v>
      </c>
      <c r="J43" s="47">
        <f t="shared" si="7"/>
        <v>8.5204054183311867E-2</v>
      </c>
      <c r="K43" s="47">
        <f t="shared" si="8"/>
        <v>8.0719630278927035E-2</v>
      </c>
      <c r="L43" s="47">
        <f t="shared" si="9"/>
        <v>5.3813086852618021E-2</v>
      </c>
      <c r="M43" s="47">
        <f t="shared" si="10"/>
        <v>0</v>
      </c>
      <c r="N43" s="48">
        <f t="shared" si="11"/>
        <v>0</v>
      </c>
    </row>
    <row r="44" spans="1:14" x14ac:dyDescent="0.2">
      <c r="A44" s="37">
        <f t="shared" si="12"/>
        <v>8.75</v>
      </c>
      <c r="B44" s="34">
        <f t="shared" si="1"/>
        <v>0.43819684312522744</v>
      </c>
      <c r="C44" s="34">
        <f t="shared" si="13"/>
        <v>1.8008606079699671E-4</v>
      </c>
      <c r="D44" s="34">
        <f t="shared" si="14"/>
        <v>0.39439516741878439</v>
      </c>
      <c r="E44" s="42">
        <f t="shared" si="4"/>
        <v>9.8598791860560822E-2</v>
      </c>
      <c r="G44" s="54">
        <v>0.36458333333333298</v>
      </c>
      <c r="H44" s="47">
        <f t="shared" si="5"/>
        <v>6.9019154302392569E-2</v>
      </c>
      <c r="I44" s="47">
        <f t="shared" si="6"/>
        <v>8.8738912674504747E-2</v>
      </c>
      <c r="J44" s="47">
        <f t="shared" si="7"/>
        <v>9.3668852267532771E-2</v>
      </c>
      <c r="K44" s="47">
        <f t="shared" si="8"/>
        <v>8.8738912674504747E-2</v>
      </c>
      <c r="L44" s="47">
        <f t="shared" si="9"/>
        <v>5.9159275116336493E-2</v>
      </c>
      <c r="M44" s="47">
        <f t="shared" si="10"/>
        <v>0</v>
      </c>
      <c r="N44" s="48">
        <f t="shared" si="11"/>
        <v>0</v>
      </c>
    </row>
    <row r="45" spans="1:14" x14ac:dyDescent="0.2">
      <c r="A45" s="37">
        <f t="shared" si="12"/>
        <v>9</v>
      </c>
      <c r="B45" s="34">
        <f t="shared" si="1"/>
        <v>0.44326920044603618</v>
      </c>
      <c r="C45" s="34">
        <f t="shared" si="13"/>
        <v>5.1329813926034558E-4</v>
      </c>
      <c r="D45" s="34">
        <f t="shared" si="14"/>
        <v>0.39899361021535862</v>
      </c>
      <c r="E45" s="42">
        <f t="shared" si="4"/>
        <v>9.974840255977277E-2</v>
      </c>
      <c r="G45" s="54">
        <v>0.375</v>
      </c>
      <c r="H45" s="47">
        <f t="shared" si="5"/>
        <v>6.982388179184093E-2</v>
      </c>
      <c r="I45" s="47">
        <f t="shared" si="6"/>
        <v>8.977356230379549E-2</v>
      </c>
      <c r="J45" s="47">
        <f t="shared" si="7"/>
        <v>9.476098243178413E-2</v>
      </c>
      <c r="K45" s="47">
        <f t="shared" si="8"/>
        <v>8.977356230379549E-2</v>
      </c>
      <c r="L45" s="47">
        <f t="shared" si="9"/>
        <v>5.9849041535863658E-2</v>
      </c>
      <c r="M45" s="47">
        <f t="shared" si="10"/>
        <v>0</v>
      </c>
      <c r="N45" s="48">
        <f t="shared" si="11"/>
        <v>0</v>
      </c>
    </row>
    <row r="46" spans="1:14" x14ac:dyDescent="0.2">
      <c r="A46" s="37">
        <f t="shared" si="12"/>
        <v>9.25</v>
      </c>
      <c r="B46" s="34">
        <f t="shared" si="1"/>
        <v>0.41540049286288644</v>
      </c>
      <c r="C46" s="34">
        <f t="shared" si="13"/>
        <v>1.3174467430802168E-3</v>
      </c>
      <c r="D46" s="34">
        <f t="shared" si="14"/>
        <v>0.37399218825090585</v>
      </c>
      <c r="E46" s="42">
        <f t="shared" si="4"/>
        <v>9.3498047068287793E-2</v>
      </c>
      <c r="G46" s="54">
        <v>0.38541666666666702</v>
      </c>
      <c r="H46" s="47">
        <f t="shared" si="5"/>
        <v>6.5448632947801455E-2</v>
      </c>
      <c r="I46" s="47">
        <f t="shared" si="6"/>
        <v>8.4148242361459014E-2</v>
      </c>
      <c r="J46" s="47">
        <f t="shared" si="7"/>
        <v>8.8823144714873403E-2</v>
      </c>
      <c r="K46" s="47">
        <f t="shared" si="8"/>
        <v>8.4148242361459014E-2</v>
      </c>
      <c r="L46" s="47">
        <f t="shared" si="9"/>
        <v>5.6098828240972676E-2</v>
      </c>
      <c r="M46" s="47">
        <f t="shared" si="10"/>
        <v>0</v>
      </c>
      <c r="N46" s="48">
        <f t="shared" si="11"/>
        <v>0</v>
      </c>
    </row>
    <row r="47" spans="1:14" x14ac:dyDescent="0.2">
      <c r="A47" s="37">
        <f t="shared" si="12"/>
        <v>9.5</v>
      </c>
      <c r="B47" s="34">
        <f t="shared" si="1"/>
        <v>0.36283450433048814</v>
      </c>
      <c r="C47" s="34">
        <f t="shared" si="13"/>
        <v>3.0680949416948531E-3</v>
      </c>
      <c r="D47" s="34">
        <f t="shared" si="14"/>
        <v>0.32685786339160883</v>
      </c>
      <c r="E47" s="42">
        <f t="shared" si="4"/>
        <v>8.1714465852762638E-2</v>
      </c>
      <c r="G47" s="54">
        <v>0.39583333333333298</v>
      </c>
      <c r="H47" s="47">
        <f t="shared" si="5"/>
        <v>5.720012609693384E-2</v>
      </c>
      <c r="I47" s="47">
        <f t="shared" si="6"/>
        <v>7.3543019267486381E-2</v>
      </c>
      <c r="J47" s="47">
        <f t="shared" si="7"/>
        <v>7.7628742560124503E-2</v>
      </c>
      <c r="K47" s="47">
        <f t="shared" si="8"/>
        <v>7.3543019267486381E-2</v>
      </c>
      <c r="L47" s="47">
        <f t="shared" si="9"/>
        <v>4.9028679511657583E-2</v>
      </c>
      <c r="M47" s="47">
        <f t="shared" si="10"/>
        <v>0</v>
      </c>
      <c r="N47" s="48">
        <f t="shared" si="11"/>
        <v>0</v>
      </c>
    </row>
    <row r="48" spans="1:14" x14ac:dyDescent="0.2">
      <c r="A48" s="37">
        <f t="shared" si="12"/>
        <v>9.75</v>
      </c>
      <c r="B48" s="34">
        <f t="shared" si="1"/>
        <v>0.29701801727140748</v>
      </c>
      <c r="C48" s="34">
        <f t="shared" si="13"/>
        <v>6.5279033575423298E-3</v>
      </c>
      <c r="D48" s="34">
        <f t="shared" si="14"/>
        <v>0.26796900588002093</v>
      </c>
      <c r="E48" s="42">
        <f t="shared" si="4"/>
        <v>6.6992251473989975E-2</v>
      </c>
      <c r="G48" s="54">
        <v>0.40625</v>
      </c>
      <c r="H48" s="47">
        <f t="shared" si="5"/>
        <v>4.6894576031792978E-2</v>
      </c>
      <c r="I48" s="47">
        <f t="shared" si="6"/>
        <v>6.0293026326590976E-2</v>
      </c>
      <c r="J48" s="47">
        <f t="shared" si="7"/>
        <v>6.3642638900290469E-2</v>
      </c>
      <c r="K48" s="47">
        <f t="shared" si="8"/>
        <v>6.0293026326590976E-2</v>
      </c>
      <c r="L48" s="47">
        <f t="shared" si="9"/>
        <v>4.0195350884393986E-2</v>
      </c>
      <c r="M48" s="47">
        <f t="shared" si="10"/>
        <v>0</v>
      </c>
      <c r="N48" s="48">
        <f t="shared" si="11"/>
        <v>0</v>
      </c>
    </row>
    <row r="49" spans="1:14" x14ac:dyDescent="0.2">
      <c r="A49" s="37">
        <f t="shared" si="12"/>
        <v>10</v>
      </c>
      <c r="B49" s="34">
        <f t="shared" si="1"/>
        <v>0.22901209821531421</v>
      </c>
      <c r="C49" s="34">
        <f t="shared" si="13"/>
        <v>1.2769587692148077E-2</v>
      </c>
      <c r="D49" s="34">
        <f t="shared" si="14"/>
        <v>0.2073878471629976</v>
      </c>
      <c r="E49" s="42">
        <f t="shared" si="4"/>
        <v>5.1846961793833295E-2</v>
      </c>
      <c r="G49" s="54">
        <v>0.41666666666666702</v>
      </c>
      <c r="H49" s="47">
        <f t="shared" si="5"/>
        <v>3.6292873255683304E-2</v>
      </c>
      <c r="I49" s="47">
        <f t="shared" si="6"/>
        <v>4.6662265614449965E-2</v>
      </c>
      <c r="J49" s="47">
        <f t="shared" si="7"/>
        <v>4.925461370414163E-2</v>
      </c>
      <c r="K49" s="47">
        <f t="shared" si="8"/>
        <v>4.6662265614449965E-2</v>
      </c>
      <c r="L49" s="47">
        <f t="shared" si="9"/>
        <v>3.1108177076299974E-2</v>
      </c>
      <c r="M49" s="47">
        <f t="shared" si="10"/>
        <v>0</v>
      </c>
      <c r="N49" s="48">
        <f t="shared" si="11"/>
        <v>0</v>
      </c>
    </row>
    <row r="50" spans="1:14" x14ac:dyDescent="0.2">
      <c r="A50" s="37">
        <f t="shared" si="12"/>
        <v>10.25</v>
      </c>
      <c r="B50" s="34">
        <f t="shared" si="1"/>
        <v>0.16707341470516493</v>
      </c>
      <c r="C50" s="34">
        <f t="shared" si="13"/>
        <v>2.3097708832934251E-2</v>
      </c>
      <c r="D50" s="34">
        <f t="shared" si="14"/>
        <v>0.15267584411794186</v>
      </c>
      <c r="E50" s="42">
        <f t="shared" si="4"/>
        <v>3.816896103175578E-2</v>
      </c>
      <c r="G50" s="54">
        <v>0.42708333333333298</v>
      </c>
      <c r="H50" s="47">
        <f t="shared" si="5"/>
        <v>2.6718272722229045E-2</v>
      </c>
      <c r="I50" s="47">
        <f t="shared" si="6"/>
        <v>3.43520649285802E-2</v>
      </c>
      <c r="J50" s="47">
        <f t="shared" si="7"/>
        <v>3.626051298016799E-2</v>
      </c>
      <c r="K50" s="47">
        <f t="shared" si="8"/>
        <v>3.43520649285802E-2</v>
      </c>
      <c r="L50" s="47">
        <f t="shared" si="9"/>
        <v>2.2901376619053466E-2</v>
      </c>
      <c r="M50" s="47">
        <f t="shared" si="10"/>
        <v>0</v>
      </c>
      <c r="N50" s="48">
        <f t="shared" si="11"/>
        <v>0</v>
      </c>
    </row>
    <row r="51" spans="1:14" x14ac:dyDescent="0.2">
      <c r="A51" s="37">
        <f t="shared" si="12"/>
        <v>10.5</v>
      </c>
      <c r="B51" s="34">
        <f t="shared" si="1"/>
        <v>0.11580467979360348</v>
      </c>
      <c r="C51" s="34">
        <f t="shared" si="13"/>
        <v>3.8835383063733152E-2</v>
      </c>
      <c r="D51" s="34">
        <f t="shared" si="14"/>
        <v>0.10810775012061646</v>
      </c>
      <c r="E51" s="42">
        <f t="shared" si="4"/>
        <v>2.7026937531761698E-2</v>
      </c>
      <c r="G51" s="54">
        <v>0.4375</v>
      </c>
      <c r="H51" s="47">
        <f t="shared" si="5"/>
        <v>1.8918856272233189E-2</v>
      </c>
      <c r="I51" s="47">
        <f t="shared" si="6"/>
        <v>2.4324243778585528E-2</v>
      </c>
      <c r="J51" s="47">
        <f t="shared" si="7"/>
        <v>2.5675590655173611E-2</v>
      </c>
      <c r="K51" s="47">
        <f t="shared" si="8"/>
        <v>2.4324243778585528E-2</v>
      </c>
      <c r="L51" s="47">
        <f t="shared" si="9"/>
        <v>1.6216162519057019E-2</v>
      </c>
      <c r="M51" s="47">
        <f t="shared" si="10"/>
        <v>0</v>
      </c>
      <c r="N51" s="48">
        <f t="shared" si="11"/>
        <v>0</v>
      </c>
    </row>
    <row r="52" spans="1:14" x14ac:dyDescent="0.2">
      <c r="A52" s="37">
        <f t="shared" si="12"/>
        <v>10.75</v>
      </c>
      <c r="B52" s="34">
        <f t="shared" si="1"/>
        <v>7.6551678367182407E-2</v>
      </c>
      <c r="C52" s="34">
        <f t="shared" si="13"/>
        <v>6.0987415174121984E-2</v>
      </c>
      <c r="D52" s="34">
        <f t="shared" si="14"/>
        <v>7.4995252047876368E-2</v>
      </c>
      <c r="E52" s="42">
        <f t="shared" si="4"/>
        <v>1.8748813013084287E-2</v>
      </c>
      <c r="G52" s="54">
        <v>0.44791666666666702</v>
      </c>
      <c r="H52" s="47">
        <f t="shared" si="5"/>
        <v>1.3124169109158999E-2</v>
      </c>
      <c r="I52" s="47">
        <f t="shared" si="6"/>
        <v>1.6873931711775859E-2</v>
      </c>
      <c r="J52" s="47">
        <f t="shared" si="7"/>
        <v>1.7811372362430071E-2</v>
      </c>
      <c r="K52" s="47">
        <f t="shared" si="8"/>
        <v>1.6873931711775859E-2</v>
      </c>
      <c r="L52" s="47">
        <f t="shared" si="9"/>
        <v>1.1249287807850571E-2</v>
      </c>
      <c r="M52" s="47">
        <f t="shared" si="10"/>
        <v>0</v>
      </c>
      <c r="N52" s="48">
        <f t="shared" si="11"/>
        <v>0</v>
      </c>
    </row>
    <row r="53" spans="1:14" x14ac:dyDescent="0.2">
      <c r="A53" s="37">
        <f t="shared" si="12"/>
        <v>11</v>
      </c>
      <c r="B53" s="34">
        <f t="shared" si="1"/>
        <v>4.8427612880923329E-2</v>
      </c>
      <c r="C53" s="34">
        <f t="shared" si="13"/>
        <v>8.9851041602149989E-2</v>
      </c>
      <c r="D53" s="34">
        <f t="shared" si="14"/>
        <v>5.2569955753046002E-2</v>
      </c>
      <c r="E53" s="42">
        <f t="shared" si="4"/>
        <v>1.3142488939043226E-2</v>
      </c>
      <c r="G53" s="54">
        <v>0.45833333333333298</v>
      </c>
      <c r="H53" s="47">
        <f t="shared" si="5"/>
        <v>9.1997422573302581E-3</v>
      </c>
      <c r="I53" s="47">
        <f t="shared" si="6"/>
        <v>1.1828240045138903E-2</v>
      </c>
      <c r="J53" s="47">
        <f t="shared" si="7"/>
        <v>1.2485364492091065E-2</v>
      </c>
      <c r="K53" s="47">
        <f t="shared" si="8"/>
        <v>1.1828240045138903E-2</v>
      </c>
      <c r="L53" s="47">
        <f t="shared" si="9"/>
        <v>7.8854933634259355E-3</v>
      </c>
      <c r="M53" s="47">
        <f t="shared" si="10"/>
        <v>0</v>
      </c>
      <c r="N53" s="48">
        <f t="shared" si="11"/>
        <v>0</v>
      </c>
    </row>
    <row r="54" spans="1:14" x14ac:dyDescent="0.2">
      <c r="A54" s="37">
        <f t="shared" si="12"/>
        <v>11.25</v>
      </c>
      <c r="B54" s="34">
        <f t="shared" si="1"/>
        <v>2.9411374446684412E-2</v>
      </c>
      <c r="C54" s="34">
        <f t="shared" si="13"/>
        <v>0.12469205327293265</v>
      </c>
      <c r="D54" s="34">
        <f t="shared" si="14"/>
        <v>3.8939442329309237E-2</v>
      </c>
      <c r="E54" s="42">
        <f t="shared" si="4"/>
        <v>9.7348605829063461E-3</v>
      </c>
      <c r="G54" s="54">
        <v>0.46875</v>
      </c>
      <c r="H54" s="47">
        <f t="shared" si="5"/>
        <v>6.814402408034442E-3</v>
      </c>
      <c r="I54" s="47">
        <f t="shared" si="6"/>
        <v>8.7613745246157126E-3</v>
      </c>
      <c r="J54" s="47">
        <f t="shared" si="7"/>
        <v>9.2481175537610285E-3</v>
      </c>
      <c r="K54" s="47">
        <f t="shared" si="8"/>
        <v>8.7613745246157126E-3</v>
      </c>
      <c r="L54" s="47">
        <f t="shared" si="9"/>
        <v>5.8409163497438075E-3</v>
      </c>
      <c r="M54" s="47">
        <f t="shared" si="10"/>
        <v>0</v>
      </c>
      <c r="N54" s="48">
        <f t="shared" si="11"/>
        <v>0</v>
      </c>
    </row>
    <row r="55" spans="1:14" x14ac:dyDescent="0.2">
      <c r="A55" s="37">
        <f t="shared" si="12"/>
        <v>11.5</v>
      </c>
      <c r="B55" s="34">
        <f t="shared" si="1"/>
        <v>1.7198184601003239E-2</v>
      </c>
      <c r="C55" s="34">
        <f t="shared" si="13"/>
        <v>0.16361045602845201</v>
      </c>
      <c r="D55" s="34">
        <f t="shared" si="14"/>
        <v>3.1839411743748117E-2</v>
      </c>
      <c r="E55" s="42">
        <f t="shared" si="4"/>
        <v>7.9598529364104872E-3</v>
      </c>
      <c r="G55" s="54">
        <v>0.47916666666666702</v>
      </c>
      <c r="H55" s="47">
        <f t="shared" si="5"/>
        <v>5.5718970554873406E-3</v>
      </c>
      <c r="I55" s="47">
        <f t="shared" si="6"/>
        <v>7.1638676427694383E-3</v>
      </c>
      <c r="J55" s="47">
        <f t="shared" si="7"/>
        <v>7.5618602895899624E-3</v>
      </c>
      <c r="K55" s="47">
        <f t="shared" si="8"/>
        <v>7.1638676427694383E-3</v>
      </c>
      <c r="L55" s="47">
        <f t="shared" si="9"/>
        <v>4.7759117618462925E-3</v>
      </c>
      <c r="M55" s="47">
        <f t="shared" si="10"/>
        <v>0</v>
      </c>
      <c r="N55" s="48">
        <f t="shared" si="11"/>
        <v>0</v>
      </c>
    </row>
    <row r="56" spans="1:14" x14ac:dyDescent="0.2">
      <c r="A56" s="37">
        <f t="shared" si="12"/>
        <v>11.75</v>
      </c>
      <c r="B56" s="34">
        <f t="shared" si="1"/>
        <v>9.7085447009455494E-3</v>
      </c>
      <c r="C56" s="34">
        <f t="shared" si="13"/>
        <v>0.20367536043605666</v>
      </c>
      <c r="D56" s="34">
        <f t="shared" si="14"/>
        <v>2.910522627445666E-2</v>
      </c>
      <c r="E56" s="42">
        <f t="shared" si="4"/>
        <v>7.2763065690469655E-3</v>
      </c>
      <c r="G56" s="54">
        <v>0.48958333333333298</v>
      </c>
      <c r="H56" s="47">
        <f t="shared" si="5"/>
        <v>5.0934145983328755E-3</v>
      </c>
      <c r="I56" s="47">
        <f t="shared" si="6"/>
        <v>6.5486759121422692E-3</v>
      </c>
      <c r="J56" s="47">
        <f t="shared" si="7"/>
        <v>6.9124912405946169E-3</v>
      </c>
      <c r="K56" s="47">
        <f t="shared" si="8"/>
        <v>6.5486759121422692E-3</v>
      </c>
      <c r="L56" s="47">
        <f t="shared" si="9"/>
        <v>4.3657839414281792E-3</v>
      </c>
      <c r="M56" s="47">
        <f t="shared" si="10"/>
        <v>0</v>
      </c>
      <c r="N56" s="48">
        <f t="shared" si="11"/>
        <v>0</v>
      </c>
    </row>
    <row r="57" spans="1:14" x14ac:dyDescent="0.2">
      <c r="A57" s="37">
        <f t="shared" si="12"/>
        <v>12</v>
      </c>
      <c r="B57" s="34">
        <f t="shared" si="1"/>
        <v>5.3039214780031532E-3</v>
      </c>
      <c r="C57" s="34">
        <f t="shared" si="13"/>
        <v>0.24132713903301858</v>
      </c>
      <c r="D57" s="34">
        <f t="shared" si="14"/>
        <v>2.89062432335047E-2</v>
      </c>
      <c r="E57" s="42">
        <f t="shared" si="4"/>
        <v>7.226560808806016E-3</v>
      </c>
      <c r="G57" s="54">
        <v>0.5</v>
      </c>
      <c r="H57" s="47">
        <f t="shared" si="5"/>
        <v>5.0585925661642108E-3</v>
      </c>
      <c r="I57" s="47">
        <f t="shared" si="6"/>
        <v>6.5039047279254148E-3</v>
      </c>
      <c r="J57" s="47">
        <f t="shared" si="7"/>
        <v>6.8652327683657146E-3</v>
      </c>
      <c r="K57" s="47">
        <f t="shared" si="8"/>
        <v>6.5039047279254148E-3</v>
      </c>
      <c r="L57" s="47">
        <f t="shared" si="9"/>
        <v>4.3359364852836096E-3</v>
      </c>
      <c r="M57" s="47">
        <f t="shared" si="10"/>
        <v>0</v>
      </c>
      <c r="N57" s="48">
        <f t="shared" si="11"/>
        <v>0</v>
      </c>
    </row>
    <row r="58" spans="1:14" x14ac:dyDescent="0.2">
      <c r="A58" s="37">
        <f t="shared" si="12"/>
        <v>12.25</v>
      </c>
      <c r="B58" s="34">
        <f t="shared" si="1"/>
        <v>2.8105761095942494E-3</v>
      </c>
      <c r="C58" s="34">
        <f t="shared" si="13"/>
        <v>0.2729582237062913</v>
      </c>
      <c r="D58" s="34">
        <f t="shared" si="14"/>
        <v>2.9825340869263958E-2</v>
      </c>
      <c r="E58" s="42">
        <f t="shared" si="4"/>
        <v>7.4563352177594976E-3</v>
      </c>
      <c r="G58" s="54">
        <v>0.51041666666666696</v>
      </c>
      <c r="H58" s="47">
        <f t="shared" si="5"/>
        <v>5.219434652431648E-3</v>
      </c>
      <c r="I58" s="47">
        <f t="shared" si="6"/>
        <v>6.710701695983548E-3</v>
      </c>
      <c r="J58" s="47">
        <f t="shared" si="7"/>
        <v>7.0835184568715228E-3</v>
      </c>
      <c r="K58" s="47">
        <f t="shared" si="8"/>
        <v>6.710701695983548E-3</v>
      </c>
      <c r="L58" s="47">
        <f t="shared" si="9"/>
        <v>4.4738011306556984E-3</v>
      </c>
      <c r="M58" s="47">
        <f t="shared" si="10"/>
        <v>0</v>
      </c>
      <c r="N58" s="48">
        <f t="shared" si="11"/>
        <v>0</v>
      </c>
    </row>
    <row r="59" spans="1:14" x14ac:dyDescent="0.2">
      <c r="A59" s="37">
        <f t="shared" si="12"/>
        <v>12.5</v>
      </c>
      <c r="B59" s="34">
        <f t="shared" si="1"/>
        <v>1.4476290693989562E-3</v>
      </c>
      <c r="C59" s="34">
        <f t="shared" si="13"/>
        <v>0.29552693327596968</v>
      </c>
      <c r="D59" s="34">
        <f t="shared" si="14"/>
        <v>3.0855559490056028E-2</v>
      </c>
      <c r="E59" s="42">
        <f t="shared" si="4"/>
        <v>7.7138898729728353E-3</v>
      </c>
      <c r="G59" s="54">
        <v>0.52083333333333304</v>
      </c>
      <c r="H59" s="47">
        <f t="shared" si="5"/>
        <v>5.3997229110809841E-3</v>
      </c>
      <c r="I59" s="47">
        <f t="shared" si="6"/>
        <v>6.9425008856755519E-3</v>
      </c>
      <c r="J59" s="47">
        <f t="shared" si="7"/>
        <v>7.3281953793241936E-3</v>
      </c>
      <c r="K59" s="47">
        <f t="shared" si="8"/>
        <v>6.9425008856755519E-3</v>
      </c>
      <c r="L59" s="47">
        <f t="shared" si="9"/>
        <v>4.6283339237837007E-3</v>
      </c>
      <c r="M59" s="47">
        <f t="shared" si="10"/>
        <v>0</v>
      </c>
      <c r="N59" s="48">
        <f t="shared" si="11"/>
        <v>0</v>
      </c>
    </row>
    <row r="60" spans="1:14" x14ac:dyDescent="0.2">
      <c r="A60" s="37">
        <f t="shared" si="12"/>
        <v>12.75</v>
      </c>
      <c r="B60" s="34">
        <f t="shared" si="1"/>
        <v>7.2614388402215144E-4</v>
      </c>
      <c r="C60" s="34">
        <f t="shared" si="13"/>
        <v>0.30705210743691697</v>
      </c>
      <c r="D60" s="34">
        <f t="shared" si="14"/>
        <v>3.1358740239311636E-2</v>
      </c>
      <c r="E60" s="42">
        <f t="shared" si="4"/>
        <v>7.83968506029422E-3</v>
      </c>
      <c r="G60" s="54">
        <v>0.53125</v>
      </c>
      <c r="H60" s="47">
        <f t="shared" si="5"/>
        <v>5.4877795422059537E-3</v>
      </c>
      <c r="I60" s="47">
        <f t="shared" si="6"/>
        <v>7.0557165542647982E-3</v>
      </c>
      <c r="J60" s="47">
        <f t="shared" si="7"/>
        <v>7.4477008072795087E-3</v>
      </c>
      <c r="K60" s="47">
        <f t="shared" si="8"/>
        <v>7.0557165542647982E-3</v>
      </c>
      <c r="L60" s="47">
        <f t="shared" si="9"/>
        <v>4.7038110361765318E-3</v>
      </c>
      <c r="M60" s="47">
        <f t="shared" si="10"/>
        <v>0</v>
      </c>
      <c r="N60" s="48">
        <f t="shared" si="11"/>
        <v>0</v>
      </c>
    </row>
    <row r="61" spans="1:14" x14ac:dyDescent="0.2">
      <c r="A61" s="37">
        <f t="shared" si="12"/>
        <v>13</v>
      </c>
      <c r="B61" s="34">
        <f t="shared" si="1"/>
        <v>3.5536025025716182E-4</v>
      </c>
      <c r="C61" s="34">
        <f t="shared" si="13"/>
        <v>0.30687867723187123</v>
      </c>
      <c r="D61" s="34">
        <f t="shared" si="14"/>
        <v>3.100769194841857E-2</v>
      </c>
      <c r="E61" s="42">
        <f t="shared" si="4"/>
        <v>7.7519229875657328E-3</v>
      </c>
      <c r="G61" s="54">
        <v>0.54166666666666696</v>
      </c>
      <c r="H61" s="47">
        <f t="shared" si="5"/>
        <v>5.4263460912960127E-3</v>
      </c>
      <c r="I61" s="47">
        <f t="shared" si="6"/>
        <v>6.9767306888091594E-3</v>
      </c>
      <c r="J61" s="47">
        <f t="shared" si="7"/>
        <v>7.3643268381874457E-3</v>
      </c>
      <c r="K61" s="47">
        <f t="shared" si="8"/>
        <v>6.9767306888091594E-3</v>
      </c>
      <c r="L61" s="47">
        <f t="shared" si="9"/>
        <v>4.6511537925394393E-3</v>
      </c>
      <c r="M61" s="47">
        <f t="shared" si="10"/>
        <v>0</v>
      </c>
      <c r="N61" s="48">
        <f t="shared" si="11"/>
        <v>0</v>
      </c>
    </row>
    <row r="62" spans="1:14" x14ac:dyDescent="0.2">
      <c r="A62" s="37">
        <f t="shared" si="12"/>
        <v>13.25</v>
      </c>
      <c r="B62" s="34">
        <f t="shared" si="1"/>
        <v>1.6994805849350191E-4</v>
      </c>
      <c r="C62" s="34">
        <f t="shared" si="13"/>
        <v>0.2956755090404371</v>
      </c>
      <c r="D62" s="34">
        <f t="shared" si="14"/>
        <v>2.9720504156687866E-2</v>
      </c>
      <c r="E62" s="42">
        <f t="shared" si="4"/>
        <v>7.4301260396139159E-3</v>
      </c>
      <c r="G62" s="54">
        <v>0.55208333333333304</v>
      </c>
      <c r="H62" s="47">
        <f t="shared" si="5"/>
        <v>5.2010882277297409E-3</v>
      </c>
      <c r="I62" s="47">
        <f t="shared" si="6"/>
        <v>6.6871134356525242E-3</v>
      </c>
      <c r="J62" s="47">
        <f t="shared" si="7"/>
        <v>7.0586197376332196E-3</v>
      </c>
      <c r="K62" s="47">
        <f t="shared" si="8"/>
        <v>6.6871134356525242E-3</v>
      </c>
      <c r="L62" s="47">
        <f t="shared" si="9"/>
        <v>4.4580756237683492E-3</v>
      </c>
      <c r="M62" s="47">
        <f t="shared" si="10"/>
        <v>0</v>
      </c>
      <c r="N62" s="48">
        <f t="shared" si="11"/>
        <v>0</v>
      </c>
    </row>
    <row r="63" spans="1:14" x14ac:dyDescent="0.2">
      <c r="A63" s="37">
        <f t="shared" si="12"/>
        <v>13.5</v>
      </c>
      <c r="B63" s="34">
        <f t="shared" si="1"/>
        <v>7.9548725847290169E-5</v>
      </c>
      <c r="C63" s="34">
        <f t="shared" si="13"/>
        <v>0.27519929258700632</v>
      </c>
      <c r="D63" s="34">
        <f t="shared" si="14"/>
        <v>2.7591523111963192E-2</v>
      </c>
      <c r="E63" s="42">
        <f t="shared" si="4"/>
        <v>6.8978807784010887E-3</v>
      </c>
      <c r="G63" s="54">
        <v>0.5625</v>
      </c>
      <c r="H63" s="47">
        <f t="shared" si="5"/>
        <v>4.8285165448807617E-3</v>
      </c>
      <c r="I63" s="47">
        <f t="shared" si="6"/>
        <v>6.20809270056098E-3</v>
      </c>
      <c r="J63" s="47">
        <f t="shared" si="7"/>
        <v>6.5529867394810339E-3</v>
      </c>
      <c r="K63" s="47">
        <f t="shared" si="8"/>
        <v>6.20809270056098E-3</v>
      </c>
      <c r="L63" s="47">
        <f t="shared" si="9"/>
        <v>4.1387284670406531E-3</v>
      </c>
      <c r="M63" s="47">
        <f t="shared" si="10"/>
        <v>0</v>
      </c>
      <c r="N63" s="48">
        <f t="shared" si="11"/>
        <v>0</v>
      </c>
    </row>
    <row r="64" spans="1:14" x14ac:dyDescent="0.2">
      <c r="A64" s="37">
        <f t="shared" si="12"/>
        <v>13.75</v>
      </c>
      <c r="B64" s="34">
        <f t="shared" si="1"/>
        <v>3.6495629186769636E-5</v>
      </c>
      <c r="C64" s="34">
        <f t="shared" si="13"/>
        <v>0.24790896476102461</v>
      </c>
      <c r="D64" s="34">
        <f t="shared" si="14"/>
        <v>2.4823742542370554E-2</v>
      </c>
      <c r="E64" s="42">
        <f t="shared" si="4"/>
        <v>6.2059356359617721E-3</v>
      </c>
      <c r="G64" s="54">
        <v>0.57291666666666696</v>
      </c>
      <c r="H64" s="47">
        <f t="shared" si="5"/>
        <v>4.3441549451732403E-3</v>
      </c>
      <c r="I64" s="47">
        <f t="shared" si="6"/>
        <v>5.5853420723655954E-3</v>
      </c>
      <c r="J64" s="47">
        <f t="shared" si="7"/>
        <v>5.8956388541636833E-3</v>
      </c>
      <c r="K64" s="47">
        <f t="shared" si="8"/>
        <v>5.5853420723655954E-3</v>
      </c>
      <c r="L64" s="47">
        <f t="shared" si="9"/>
        <v>3.7235613815770631E-3</v>
      </c>
      <c r="M64" s="47">
        <f t="shared" si="10"/>
        <v>0</v>
      </c>
      <c r="N64" s="48">
        <f t="shared" si="11"/>
        <v>0</v>
      </c>
    </row>
    <row r="65" spans="1:14" x14ac:dyDescent="0.2">
      <c r="A65" s="37">
        <f t="shared" si="12"/>
        <v>14</v>
      </c>
      <c r="B65" s="34">
        <f>IF(A65&gt;0,_xlfn.LOGNORM.DIST(A65,$B$2,$B$3,FALSE),0)</f>
        <v>1.6432987356712853E-5</v>
      </c>
      <c r="C65" s="34">
        <f>IF(A65&gt;0,_xlfn.LOGNORM.DIST(A65,$D$2,$D$3,FALSE),0)</f>
        <v>0.21653342690607977</v>
      </c>
      <c r="D65" s="34">
        <f t="shared" si="14"/>
        <v>2.1668132379229023E-2</v>
      </c>
      <c r="E65" s="42">
        <f t="shared" si="4"/>
        <v>5.417033095129465E-3</v>
      </c>
      <c r="G65" s="54">
        <v>0.58333333333333304</v>
      </c>
      <c r="H65" s="47">
        <f t="shared" si="5"/>
        <v>3.7919231665906254E-3</v>
      </c>
      <c r="I65" s="47">
        <f t="shared" si="6"/>
        <v>4.8753297856165183E-3</v>
      </c>
      <c r="J65" s="47">
        <f t="shared" si="7"/>
        <v>5.1461814403729912E-3</v>
      </c>
      <c r="K65" s="47">
        <f t="shared" si="8"/>
        <v>4.8753297856165183E-3</v>
      </c>
      <c r="L65" s="47">
        <f t="shared" si="9"/>
        <v>3.2502198570776787E-3</v>
      </c>
      <c r="M65" s="47">
        <f t="shared" si="10"/>
        <v>0</v>
      </c>
      <c r="N65" s="48">
        <f t="shared" si="11"/>
        <v>0</v>
      </c>
    </row>
    <row r="66" spans="1:14" x14ac:dyDescent="0.2">
      <c r="A66" s="37">
        <f t="shared" si="12"/>
        <v>14.25</v>
      </c>
      <c r="B66" s="34">
        <f t="shared" si="1"/>
        <v>7.2710602780927821E-6</v>
      </c>
      <c r="C66" s="34">
        <f t="shared" ref="C66:C87" si="15">IF(A66&gt;0,_xlfn.LOGNORM.DIST(A66,$D$2,$D$3,FALSE),0)</f>
        <v>0.18368340067058694</v>
      </c>
      <c r="D66" s="34">
        <f t="shared" si="14"/>
        <v>1.837488402130898E-2</v>
      </c>
      <c r="E66" s="42">
        <f t="shared" si="4"/>
        <v>4.593721005600483E-3</v>
      </c>
      <c r="G66" s="54">
        <v>0.59375</v>
      </c>
      <c r="H66" s="47">
        <f t="shared" si="5"/>
        <v>3.2156047039203378E-3</v>
      </c>
      <c r="I66" s="47">
        <f t="shared" si="6"/>
        <v>4.1343489050404345E-3</v>
      </c>
      <c r="J66" s="47">
        <f t="shared" si="7"/>
        <v>4.3640349553204583E-3</v>
      </c>
      <c r="K66" s="47">
        <f t="shared" si="8"/>
        <v>4.1343489050404345E-3</v>
      </c>
      <c r="L66" s="47">
        <f t="shared" si="9"/>
        <v>2.7562326033602896E-3</v>
      </c>
      <c r="M66" s="47">
        <f t="shared" si="10"/>
        <v>0</v>
      </c>
      <c r="N66" s="48">
        <f t="shared" si="11"/>
        <v>0</v>
      </c>
    </row>
    <row r="67" spans="1:14" x14ac:dyDescent="0.2">
      <c r="A67" s="37">
        <f t="shared" si="12"/>
        <v>14.5</v>
      </c>
      <c r="B67" s="34">
        <f t="shared" si="1"/>
        <v>3.1650850946086769E-6</v>
      </c>
      <c r="C67" s="34">
        <f t="shared" si="15"/>
        <v>0.15156717424902766</v>
      </c>
      <c r="D67" s="34">
        <f t="shared" si="14"/>
        <v>1.5159566001487913E-2</v>
      </c>
      <c r="E67" s="42">
        <f t="shared" si="4"/>
        <v>3.7898915005974039E-3</v>
      </c>
      <c r="G67" s="54">
        <v>0.60416666666666696</v>
      </c>
      <c r="H67" s="47">
        <f t="shared" si="5"/>
        <v>2.6529240504181827E-3</v>
      </c>
      <c r="I67" s="47">
        <f t="shared" si="6"/>
        <v>3.4109023505376635E-3</v>
      </c>
      <c r="J67" s="47">
        <f t="shared" si="7"/>
        <v>3.6003969255675337E-3</v>
      </c>
      <c r="K67" s="47">
        <f t="shared" si="8"/>
        <v>3.4109023505376635E-3</v>
      </c>
      <c r="L67" s="47">
        <f t="shared" si="9"/>
        <v>2.2739349003584423E-3</v>
      </c>
      <c r="M67" s="47">
        <f t="shared" si="10"/>
        <v>0</v>
      </c>
      <c r="N67" s="48">
        <f t="shared" si="11"/>
        <v>0</v>
      </c>
    </row>
    <row r="68" spans="1:14" x14ac:dyDescent="0.2">
      <c r="A68" s="37">
        <f t="shared" si="12"/>
        <v>14.75</v>
      </c>
      <c r="B68" s="34">
        <f t="shared" si="1"/>
        <v>1.3568961497538993E-6</v>
      </c>
      <c r="C68" s="34">
        <f t="shared" si="15"/>
        <v>0.12183327395782037</v>
      </c>
      <c r="D68" s="34">
        <f t="shared" si="14"/>
        <v>1.2184548602316816E-2</v>
      </c>
      <c r="E68" s="42">
        <f t="shared" si="4"/>
        <v>3.0461371507603907E-3</v>
      </c>
      <c r="G68" s="54">
        <v>0.61458333333333304</v>
      </c>
      <c r="H68" s="47">
        <f t="shared" si="5"/>
        <v>2.1322960055322735E-3</v>
      </c>
      <c r="I68" s="47">
        <f t="shared" si="6"/>
        <v>2.7415234356843515E-3</v>
      </c>
      <c r="J68" s="47">
        <f t="shared" si="7"/>
        <v>2.8938302932223709E-3</v>
      </c>
      <c r="K68" s="47">
        <f t="shared" si="8"/>
        <v>2.7415234356843515E-3</v>
      </c>
      <c r="L68" s="47">
        <f t="shared" si="9"/>
        <v>1.8276822904562343E-3</v>
      </c>
      <c r="M68" s="47">
        <f t="shared" si="10"/>
        <v>0</v>
      </c>
      <c r="N68" s="48">
        <f t="shared" si="11"/>
        <v>0</v>
      </c>
    </row>
    <row r="69" spans="1:14" x14ac:dyDescent="0.2">
      <c r="A69" s="37">
        <f t="shared" si="12"/>
        <v>15</v>
      </c>
      <c r="B69" s="34">
        <f t="shared" si="1"/>
        <v>5.7347898979284095E-7</v>
      </c>
      <c r="C69" s="34">
        <f t="shared" si="15"/>
        <v>9.5531789375217974E-2</v>
      </c>
      <c r="D69" s="34">
        <f t="shared" si="14"/>
        <v>9.5536950686126131E-3</v>
      </c>
      <c r="E69" s="42">
        <f t="shared" si="4"/>
        <v>2.3884237672952184E-3</v>
      </c>
      <c r="G69" s="54">
        <v>0.625</v>
      </c>
      <c r="H69" s="47">
        <f t="shared" si="5"/>
        <v>1.6718966371066528E-3</v>
      </c>
      <c r="I69" s="47">
        <f t="shared" si="6"/>
        <v>2.1495813905656968E-3</v>
      </c>
      <c r="J69" s="47">
        <f t="shared" si="7"/>
        <v>2.2690025789304574E-3</v>
      </c>
      <c r="K69" s="47">
        <f t="shared" si="8"/>
        <v>2.1495813905656968E-3</v>
      </c>
      <c r="L69" s="47">
        <f t="shared" si="9"/>
        <v>1.4330542603771311E-3</v>
      </c>
      <c r="M69" s="47">
        <f t="shared" si="10"/>
        <v>0</v>
      </c>
      <c r="N69" s="48">
        <f t="shared" si="11"/>
        <v>0</v>
      </c>
    </row>
    <row r="70" spans="1:14" x14ac:dyDescent="0.2">
      <c r="A70" s="37">
        <f t="shared" si="12"/>
        <v>15.25</v>
      </c>
      <c r="B70" s="34">
        <f t="shared" si="1"/>
        <v>2.3916938141674155E-7</v>
      </c>
      <c r="C70" s="34">
        <f t="shared" si="15"/>
        <v>7.3166170802238417E-2</v>
      </c>
      <c r="D70" s="34">
        <f t="shared" si="14"/>
        <v>7.3168323326671175E-3</v>
      </c>
      <c r="E70" s="42">
        <f t="shared" si="4"/>
        <v>1.8292080832755821E-3</v>
      </c>
      <c r="G70" s="54">
        <v>0.63541666666666696</v>
      </c>
      <c r="H70" s="47">
        <f t="shared" si="5"/>
        <v>1.2804456582929074E-3</v>
      </c>
      <c r="I70" s="47">
        <f t="shared" si="6"/>
        <v>1.646287274948024E-3</v>
      </c>
      <c r="J70" s="47">
        <f t="shared" si="7"/>
        <v>1.7377476791118028E-3</v>
      </c>
      <c r="K70" s="47">
        <f t="shared" si="8"/>
        <v>1.646287274948024E-3</v>
      </c>
      <c r="L70" s="47">
        <f t="shared" si="9"/>
        <v>1.0975248499653493E-3</v>
      </c>
      <c r="M70" s="47">
        <f t="shared" si="10"/>
        <v>0</v>
      </c>
      <c r="N70" s="48">
        <f t="shared" si="11"/>
        <v>0</v>
      </c>
    </row>
    <row r="71" spans="1:14" x14ac:dyDescent="0.2">
      <c r="A71" s="37">
        <f t="shared" si="12"/>
        <v>15.5</v>
      </c>
      <c r="B71" s="34">
        <f t="shared" si="1"/>
        <v>9.8512622217041322E-8</v>
      </c>
      <c r="C71" s="34">
        <f t="shared" si="15"/>
        <v>5.4799742081159612E-2</v>
      </c>
      <c r="D71" s="34">
        <f t="shared" si="14"/>
        <v>5.4800628694759565E-3</v>
      </c>
      <c r="E71" s="42">
        <f t="shared" si="4"/>
        <v>1.3700157174504786E-3</v>
      </c>
      <c r="G71" s="54">
        <v>0.64583333333333304</v>
      </c>
      <c r="H71" s="47">
        <f t="shared" si="5"/>
        <v>9.5901100221533497E-4</v>
      </c>
      <c r="I71" s="47">
        <f t="shared" si="6"/>
        <v>1.2330141457054307E-3</v>
      </c>
      <c r="J71" s="47">
        <f t="shared" si="7"/>
        <v>1.3015149315779547E-3</v>
      </c>
      <c r="K71" s="47">
        <f t="shared" si="8"/>
        <v>1.2330141457054307E-3</v>
      </c>
      <c r="L71" s="47">
        <f t="shared" si="9"/>
        <v>8.2200943047028719E-4</v>
      </c>
      <c r="M71" s="47">
        <f t="shared" si="10"/>
        <v>0</v>
      </c>
      <c r="N71" s="48">
        <f t="shared" si="11"/>
        <v>0</v>
      </c>
    </row>
    <row r="72" spans="1:14" x14ac:dyDescent="0.2">
      <c r="A72" s="37">
        <f t="shared" si="12"/>
        <v>15.75</v>
      </c>
      <c r="B72" s="34">
        <f t="shared" si="1"/>
        <v>4.0108188928106763E-8</v>
      </c>
      <c r="C72" s="34">
        <f t="shared" si="15"/>
        <v>4.0183382100736256E-2</v>
      </c>
      <c r="D72" s="34">
        <f t="shared" si="14"/>
        <v>4.0183743074436607E-3</v>
      </c>
      <c r="E72" s="42">
        <f t="shared" si="4"/>
        <v>1.0045935769206692E-3</v>
      </c>
      <c r="G72" s="54">
        <v>0.65625</v>
      </c>
      <c r="H72" s="47">
        <f t="shared" si="5"/>
        <v>7.0321550384446841E-4</v>
      </c>
      <c r="I72" s="47">
        <f t="shared" si="6"/>
        <v>9.041342192286023E-4</v>
      </c>
      <c r="J72" s="47">
        <f t="shared" si="7"/>
        <v>9.5436389807463577E-4</v>
      </c>
      <c r="K72" s="47">
        <f t="shared" si="8"/>
        <v>9.041342192286023E-4</v>
      </c>
      <c r="L72" s="47">
        <f t="shared" si="9"/>
        <v>6.0275614615240157E-4</v>
      </c>
      <c r="M72" s="47">
        <f t="shared" si="10"/>
        <v>0</v>
      </c>
      <c r="N72" s="48">
        <f t="shared" si="11"/>
        <v>0</v>
      </c>
    </row>
    <row r="73" spans="1:14" x14ac:dyDescent="0.2">
      <c r="A73" s="37">
        <f t="shared" si="12"/>
        <v>16</v>
      </c>
      <c r="B73" s="34">
        <f t="shared" si="1"/>
        <v>1.6153370255782964E-8</v>
      </c>
      <c r="C73" s="34">
        <f t="shared" si="15"/>
        <v>2.887880185809889E-2</v>
      </c>
      <c r="D73" s="34">
        <f t="shared" si="14"/>
        <v>2.8878947238431193E-3</v>
      </c>
      <c r="E73" s="42">
        <f t="shared" si="4"/>
        <v>7.2197368100372335E-4</v>
      </c>
      <c r="G73" s="54">
        <v>0.66666666666666696</v>
      </c>
      <c r="H73" s="47">
        <f t="shared" si="5"/>
        <v>5.053815767026063E-4</v>
      </c>
      <c r="I73" s="47">
        <f t="shared" si="6"/>
        <v>6.4977631290335104E-4</v>
      </c>
      <c r="J73" s="47">
        <f t="shared" si="7"/>
        <v>6.8587499695353714E-4</v>
      </c>
      <c r="K73" s="47">
        <f t="shared" si="8"/>
        <v>6.4977631290335104E-4</v>
      </c>
      <c r="L73" s="47">
        <f t="shared" si="9"/>
        <v>4.3318420860223399E-4</v>
      </c>
      <c r="M73" s="47">
        <f t="shared" si="10"/>
        <v>0</v>
      </c>
      <c r="N73" s="48">
        <f t="shared" si="11"/>
        <v>0</v>
      </c>
    </row>
    <row r="74" spans="1:14" x14ac:dyDescent="0.2">
      <c r="A74" s="37">
        <f t="shared" si="12"/>
        <v>16.25</v>
      </c>
      <c r="B74" s="34">
        <f t="shared" ref="B74:B87" si="16">IF(A74&gt;0,_xlfn.LOGNORM.DIST(A74,$B$2,$B$3,FALSE),0)</f>
        <v>6.4401397040311886E-9</v>
      </c>
      <c r="C74" s="34">
        <f t="shared" si="15"/>
        <v>2.0361720770781522E-2</v>
      </c>
      <c r="D74" s="34">
        <f t="shared" si="14"/>
        <v>2.0361778732038856E-3</v>
      </c>
      <c r="E74" s="42">
        <f t="shared" ref="E74:E104" si="17">IF($D$105&gt;0, D74/$D$105, 0)</f>
        <v>5.090444683312497E-4</v>
      </c>
      <c r="G74" s="54">
        <v>0.67708333333333304</v>
      </c>
      <c r="H74" s="47">
        <f t="shared" ref="H74:H104" si="18">E74*$H$7</f>
        <v>3.5633112783187479E-4</v>
      </c>
      <c r="I74" s="47">
        <f t="shared" ref="I74:I104" si="19">E74*$I$7</f>
        <v>4.5814002149812473E-4</v>
      </c>
      <c r="J74" s="47">
        <f t="shared" ref="J74:J104" si="20">E74*$J$7</f>
        <v>4.8359224491468719E-4</v>
      </c>
      <c r="K74" s="47">
        <f t="shared" ref="K74:K104" si="21">E74*$K$7</f>
        <v>4.5814002149812473E-4</v>
      </c>
      <c r="L74" s="47">
        <f t="shared" ref="L74:L104" si="22">E74*$L$7</f>
        <v>3.0542668099874982E-4</v>
      </c>
      <c r="M74" s="47">
        <f t="shared" ref="M74:M104" si="23">E74*$M$7</f>
        <v>0</v>
      </c>
      <c r="N74" s="48">
        <f t="shared" ref="N74:N104" si="24">E74*$N$7</f>
        <v>0</v>
      </c>
    </row>
    <row r="75" spans="1:14" x14ac:dyDescent="0.2">
      <c r="A75" s="37">
        <f t="shared" ref="A75:A104" si="25">A74+$F$2</f>
        <v>16.5</v>
      </c>
      <c r="B75" s="34">
        <f t="shared" si="16"/>
        <v>2.5434499242098675E-9</v>
      </c>
      <c r="C75" s="34">
        <f t="shared" si="15"/>
        <v>1.4098249670864704E-2</v>
      </c>
      <c r="D75" s="34">
        <f t="shared" si="14"/>
        <v>1.4098272561914023E-3</v>
      </c>
      <c r="E75" s="42">
        <f t="shared" si="17"/>
        <v>3.5245681406881498E-4</v>
      </c>
      <c r="G75" s="54">
        <v>0.6875</v>
      </c>
      <c r="H75" s="47">
        <f t="shared" si="18"/>
        <v>2.4671976984817046E-4</v>
      </c>
      <c r="I75" s="47">
        <f t="shared" si="19"/>
        <v>3.1721113266193349E-4</v>
      </c>
      <c r="J75" s="47">
        <f t="shared" si="20"/>
        <v>3.3483397336537423E-4</v>
      </c>
      <c r="K75" s="47">
        <f t="shared" si="21"/>
        <v>3.1721113266193349E-4</v>
      </c>
      <c r="L75" s="47">
        <f t="shared" si="22"/>
        <v>2.1147408844128898E-4</v>
      </c>
      <c r="M75" s="47">
        <f t="shared" si="23"/>
        <v>0</v>
      </c>
      <c r="N75" s="48">
        <f t="shared" si="24"/>
        <v>0</v>
      </c>
    </row>
    <row r="76" spans="1:14" x14ac:dyDescent="0.2">
      <c r="A76" s="37">
        <f t="shared" si="25"/>
        <v>16.75</v>
      </c>
      <c r="B76" s="34">
        <f t="shared" si="16"/>
        <v>9.9568637468043426E-10</v>
      </c>
      <c r="C76" s="34">
        <f t="shared" si="15"/>
        <v>9.5944644696616382E-3</v>
      </c>
      <c r="D76" s="34">
        <f t="shared" si="14"/>
        <v>9.5944734308390101E-4</v>
      </c>
      <c r="E76" s="42">
        <f t="shared" si="17"/>
        <v>2.3986183578524241E-4</v>
      </c>
      <c r="G76" s="54">
        <v>0.69791666666666696</v>
      </c>
      <c r="H76" s="47">
        <f t="shared" si="18"/>
        <v>1.6790328504966967E-4</v>
      </c>
      <c r="I76" s="47">
        <f t="shared" si="19"/>
        <v>2.1587565220671816E-4</v>
      </c>
      <c r="J76" s="47">
        <f t="shared" si="20"/>
        <v>2.2786874399598027E-4</v>
      </c>
      <c r="K76" s="47">
        <f t="shared" si="21"/>
        <v>2.1587565220671816E-4</v>
      </c>
      <c r="L76" s="47">
        <f t="shared" si="22"/>
        <v>1.4391710147114545E-4</v>
      </c>
      <c r="M76" s="47">
        <f t="shared" si="23"/>
        <v>0</v>
      </c>
      <c r="N76" s="48">
        <f t="shared" si="24"/>
        <v>0</v>
      </c>
    </row>
    <row r="77" spans="1:14" x14ac:dyDescent="0.2">
      <c r="A77" s="37">
        <f t="shared" si="25"/>
        <v>17</v>
      </c>
      <c r="B77" s="34">
        <f t="shared" si="16"/>
        <v>3.8659157035095301E-10</v>
      </c>
      <c r="C77" s="34">
        <f t="shared" si="15"/>
        <v>6.4231597500646557E-3</v>
      </c>
      <c r="D77" s="34">
        <f t="shared" si="14"/>
        <v>6.4231632293887896E-4</v>
      </c>
      <c r="E77" s="42">
        <f t="shared" si="17"/>
        <v>1.605790807442711E-4</v>
      </c>
      <c r="G77" s="54">
        <v>0.70833333333333304</v>
      </c>
      <c r="H77" s="47">
        <f t="shared" si="18"/>
        <v>1.1240535652098977E-4</v>
      </c>
      <c r="I77" s="47">
        <f t="shared" si="19"/>
        <v>1.4452117266984399E-4</v>
      </c>
      <c r="J77" s="47">
        <f t="shared" si="20"/>
        <v>1.5255012670705755E-4</v>
      </c>
      <c r="K77" s="47">
        <f t="shared" si="21"/>
        <v>1.4452117266984399E-4</v>
      </c>
      <c r="L77" s="47">
        <f t="shared" si="22"/>
        <v>9.6347448446562658E-5</v>
      </c>
      <c r="M77" s="47">
        <f t="shared" si="23"/>
        <v>0</v>
      </c>
      <c r="N77" s="48">
        <f t="shared" si="24"/>
        <v>0</v>
      </c>
    </row>
    <row r="78" spans="1:14" x14ac:dyDescent="0.2">
      <c r="A78" s="37">
        <f t="shared" si="25"/>
        <v>17.25</v>
      </c>
      <c r="B78" s="34">
        <f t="shared" si="16"/>
        <v>1.4895533134479803E-10</v>
      </c>
      <c r="C78" s="34">
        <f t="shared" si="15"/>
        <v>4.233469669460482E-3</v>
      </c>
      <c r="D78" s="34">
        <f t="shared" si="14"/>
        <v>4.233471010058464E-4</v>
      </c>
      <c r="E78" s="42">
        <f t="shared" si="17"/>
        <v>1.0583677525775686E-4</v>
      </c>
      <c r="G78" s="54">
        <v>0.71875</v>
      </c>
      <c r="H78" s="47">
        <f t="shared" si="18"/>
        <v>7.4085742680429789E-5</v>
      </c>
      <c r="I78" s="47">
        <f t="shared" si="19"/>
        <v>9.5253097731981177E-5</v>
      </c>
      <c r="J78" s="47">
        <f t="shared" si="20"/>
        <v>1.00544936494869E-4</v>
      </c>
      <c r="K78" s="47">
        <f t="shared" si="21"/>
        <v>9.5253097731981177E-5</v>
      </c>
      <c r="L78" s="47">
        <f t="shared" si="22"/>
        <v>6.3502065154654109E-5</v>
      </c>
      <c r="M78" s="47">
        <f t="shared" si="23"/>
        <v>0</v>
      </c>
      <c r="N78" s="48">
        <f t="shared" si="24"/>
        <v>0</v>
      </c>
    </row>
    <row r="79" spans="1:14" x14ac:dyDescent="0.2">
      <c r="A79" s="37">
        <f t="shared" si="25"/>
        <v>17.5</v>
      </c>
      <c r="B79" s="34">
        <f t="shared" si="16"/>
        <v>5.6985256572902704E-11</v>
      </c>
      <c r="C79" s="34">
        <f t="shared" si="15"/>
        <v>2.7491108926593305E-3</v>
      </c>
      <c r="D79" s="34">
        <f t="shared" si="14"/>
        <v>2.7491114055266399E-4</v>
      </c>
      <c r="E79" s="42">
        <f t="shared" si="17"/>
        <v>6.8727785142253981E-5</v>
      </c>
      <c r="G79" s="54">
        <v>0.72916666666666696</v>
      </c>
      <c r="H79" s="47">
        <f t="shared" si="18"/>
        <v>4.8109449599577785E-5</v>
      </c>
      <c r="I79" s="47">
        <f t="shared" si="19"/>
        <v>6.185500662802858E-5</v>
      </c>
      <c r="J79" s="47">
        <f t="shared" si="20"/>
        <v>6.5291395885141274E-5</v>
      </c>
      <c r="K79" s="47">
        <f t="shared" si="21"/>
        <v>6.185500662802858E-5</v>
      </c>
      <c r="L79" s="47">
        <f t="shared" si="22"/>
        <v>4.1236671085352385E-5</v>
      </c>
      <c r="M79" s="47">
        <f t="shared" si="23"/>
        <v>0</v>
      </c>
      <c r="N79" s="48">
        <f t="shared" si="24"/>
        <v>0</v>
      </c>
    </row>
    <row r="80" spans="1:14" x14ac:dyDescent="0.2">
      <c r="A80" s="37">
        <f t="shared" si="25"/>
        <v>17.75</v>
      </c>
      <c r="B80" s="34">
        <f t="shared" si="16"/>
        <v>2.1656445738940099E-11</v>
      </c>
      <c r="C80" s="34">
        <f t="shared" si="15"/>
        <v>1.7601381196371605E-3</v>
      </c>
      <c r="D80" s="34">
        <f t="shared" si="14"/>
        <v>1.7601383145451723E-4</v>
      </c>
      <c r="E80" s="42">
        <f t="shared" si="17"/>
        <v>4.4003457866246665E-5</v>
      </c>
      <c r="G80" s="54">
        <v>0.73958333333333304</v>
      </c>
      <c r="H80" s="47">
        <f t="shared" si="18"/>
        <v>3.0802420506372664E-5</v>
      </c>
      <c r="I80" s="47">
        <f t="shared" si="19"/>
        <v>3.9603112079621998E-5</v>
      </c>
      <c r="J80" s="47">
        <f t="shared" si="20"/>
        <v>4.1803284972934328E-5</v>
      </c>
      <c r="K80" s="47">
        <f t="shared" si="21"/>
        <v>3.9603112079621998E-5</v>
      </c>
      <c r="L80" s="47">
        <f t="shared" si="22"/>
        <v>2.6402074719748E-5</v>
      </c>
      <c r="M80" s="47">
        <f t="shared" si="23"/>
        <v>0</v>
      </c>
      <c r="N80" s="48">
        <f t="shared" si="24"/>
        <v>0</v>
      </c>
    </row>
    <row r="81" spans="1:14" x14ac:dyDescent="0.2">
      <c r="A81" s="37">
        <f t="shared" si="25"/>
        <v>18</v>
      </c>
      <c r="B81" s="34">
        <f t="shared" si="16"/>
        <v>8.1796161322172123E-12</v>
      </c>
      <c r="C81" s="34">
        <f t="shared" si="15"/>
        <v>1.1118698478118137E-3</v>
      </c>
      <c r="D81" s="34">
        <f t="shared" si="14"/>
        <v>1.1118699214283589E-4</v>
      </c>
      <c r="E81" s="42">
        <f t="shared" si="17"/>
        <v>2.7796748037362344E-5</v>
      </c>
      <c r="G81" s="54">
        <v>0.75</v>
      </c>
      <c r="H81" s="47">
        <f t="shared" si="18"/>
        <v>1.9457723626153641E-5</v>
      </c>
      <c r="I81" s="47">
        <f t="shared" si="19"/>
        <v>2.5017073233626111E-5</v>
      </c>
      <c r="J81" s="47">
        <f t="shared" si="20"/>
        <v>2.6406910635494224E-5</v>
      </c>
      <c r="K81" s="47">
        <f t="shared" si="21"/>
        <v>2.5017073233626111E-5</v>
      </c>
      <c r="L81" s="47">
        <f t="shared" si="22"/>
        <v>1.6678048822417407E-5</v>
      </c>
      <c r="M81" s="47">
        <f t="shared" si="23"/>
        <v>0</v>
      </c>
      <c r="N81" s="48">
        <f t="shared" si="24"/>
        <v>0</v>
      </c>
    </row>
    <row r="82" spans="1:14" x14ac:dyDescent="0.2">
      <c r="A82" s="37">
        <f t="shared" si="25"/>
        <v>18.25</v>
      </c>
      <c r="B82" s="34">
        <f t="shared" si="16"/>
        <v>3.0717851612429684E-12</v>
      </c>
      <c r="C82" s="34">
        <f t="shared" si="15"/>
        <v>6.9341364807886979E-4</v>
      </c>
      <c r="D82" s="34">
        <f t="shared" si="14"/>
        <v>6.9341367572493627E-5</v>
      </c>
      <c r="E82" s="42">
        <f t="shared" si="17"/>
        <v>1.7335341894154527E-5</v>
      </c>
      <c r="G82" s="54">
        <v>0.76041666666666696</v>
      </c>
      <c r="H82" s="47">
        <f t="shared" si="18"/>
        <v>1.2134739325908169E-5</v>
      </c>
      <c r="I82" s="47">
        <f t="shared" si="19"/>
        <v>1.5601807704739075E-5</v>
      </c>
      <c r="J82" s="47">
        <f t="shared" si="20"/>
        <v>1.6468574799446801E-5</v>
      </c>
      <c r="K82" s="47">
        <f t="shared" si="21"/>
        <v>1.5601807704739075E-5</v>
      </c>
      <c r="L82" s="47">
        <f t="shared" si="22"/>
        <v>1.0401205136492715E-5</v>
      </c>
      <c r="M82" s="47">
        <f t="shared" si="23"/>
        <v>0</v>
      </c>
      <c r="N82" s="48">
        <f t="shared" si="24"/>
        <v>0</v>
      </c>
    </row>
    <row r="83" spans="1:14" x14ac:dyDescent="0.2">
      <c r="A83" s="37">
        <f t="shared" si="25"/>
        <v>18.5</v>
      </c>
      <c r="B83" s="34">
        <f t="shared" si="16"/>
        <v>1.1474692756058312E-12</v>
      </c>
      <c r="C83" s="34">
        <f t="shared" si="15"/>
        <v>4.2719486444150399E-4</v>
      </c>
      <c r="D83" s="34">
        <f t="shared" si="14"/>
        <v>4.2719487476872754E-5</v>
      </c>
      <c r="E83" s="42">
        <f t="shared" si="17"/>
        <v>1.0679871869853436E-5</v>
      </c>
      <c r="G83" s="54">
        <v>0.77083333333333304</v>
      </c>
      <c r="H83" s="47">
        <f t="shared" si="18"/>
        <v>7.4759103088974047E-6</v>
      </c>
      <c r="I83" s="47">
        <f t="shared" si="19"/>
        <v>9.6118846828680923E-6</v>
      </c>
      <c r="J83" s="47">
        <f t="shared" si="20"/>
        <v>1.0145878276360764E-5</v>
      </c>
      <c r="K83" s="47">
        <f t="shared" si="21"/>
        <v>9.6118846828680923E-6</v>
      </c>
      <c r="L83" s="47">
        <f t="shared" si="22"/>
        <v>6.4079231219120618E-6</v>
      </c>
      <c r="M83" s="47">
        <f t="shared" si="23"/>
        <v>0</v>
      </c>
      <c r="N83" s="48">
        <f t="shared" si="24"/>
        <v>0</v>
      </c>
    </row>
    <row r="84" spans="1:14" x14ac:dyDescent="0.2">
      <c r="A84" s="37">
        <f t="shared" si="25"/>
        <v>18.75</v>
      </c>
      <c r="B84" s="34">
        <f t="shared" si="16"/>
        <v>4.2653383855422492E-13</v>
      </c>
      <c r="C84" s="34">
        <f t="shared" si="15"/>
        <v>2.6013884911930892E-4</v>
      </c>
      <c r="D84" s="34">
        <f t="shared" si="14"/>
        <v>2.6013885295811346E-5</v>
      </c>
      <c r="E84" s="42">
        <f t="shared" si="17"/>
        <v>6.5034713243396681E-6</v>
      </c>
      <c r="G84" s="54">
        <v>0.78125</v>
      </c>
      <c r="H84" s="47">
        <f t="shared" si="18"/>
        <v>4.5524299270377671E-6</v>
      </c>
      <c r="I84" s="47">
        <f t="shared" si="19"/>
        <v>5.8531241919057011E-6</v>
      </c>
      <c r="J84" s="47">
        <f t="shared" si="20"/>
        <v>6.1782977581226846E-6</v>
      </c>
      <c r="K84" s="47">
        <f t="shared" si="21"/>
        <v>5.8531241919057011E-6</v>
      </c>
      <c r="L84" s="47">
        <f t="shared" si="22"/>
        <v>3.902082794603801E-6</v>
      </c>
      <c r="M84" s="47">
        <f t="shared" si="23"/>
        <v>0</v>
      </c>
      <c r="N84" s="48">
        <f t="shared" si="24"/>
        <v>0</v>
      </c>
    </row>
    <row r="85" spans="1:14" x14ac:dyDescent="0.2">
      <c r="A85" s="37">
        <f t="shared" si="25"/>
        <v>19</v>
      </c>
      <c r="B85" s="34">
        <f t="shared" si="16"/>
        <v>1.5782958269772764E-13</v>
      </c>
      <c r="C85" s="34">
        <f t="shared" si="15"/>
        <v>1.5666338977706967E-4</v>
      </c>
      <c r="D85" s="34">
        <f t="shared" si="14"/>
        <v>1.5666339119753592E-5</v>
      </c>
      <c r="E85" s="42">
        <f t="shared" si="17"/>
        <v>3.9165847801713592E-6</v>
      </c>
      <c r="G85" s="54">
        <v>0.79166666666666696</v>
      </c>
      <c r="H85" s="47">
        <f t="shared" si="18"/>
        <v>2.7416093461199513E-6</v>
      </c>
      <c r="I85" s="47">
        <f t="shared" si="19"/>
        <v>3.5249263021542233E-6</v>
      </c>
      <c r="J85" s="47">
        <f t="shared" si="20"/>
        <v>3.7207555411627908E-6</v>
      </c>
      <c r="K85" s="47">
        <f t="shared" si="21"/>
        <v>3.5249263021542233E-6</v>
      </c>
      <c r="L85" s="47">
        <f t="shared" si="22"/>
        <v>2.3499508681028154E-6</v>
      </c>
      <c r="M85" s="47">
        <f t="shared" si="23"/>
        <v>0</v>
      </c>
      <c r="N85" s="48">
        <f t="shared" si="24"/>
        <v>0</v>
      </c>
    </row>
    <row r="86" spans="1:14" x14ac:dyDescent="0.2">
      <c r="A86" s="37">
        <f t="shared" si="25"/>
        <v>19.25</v>
      </c>
      <c r="B86" s="34">
        <f t="shared" si="16"/>
        <v>5.8156348765173245E-14</v>
      </c>
      <c r="C86" s="34">
        <f t="shared" si="15"/>
        <v>9.3355194440164019E-5</v>
      </c>
      <c r="D86" s="34">
        <f t="shared" si="14"/>
        <v>9.3355194963571169E-6</v>
      </c>
      <c r="E86" s="42">
        <f t="shared" si="17"/>
        <v>2.3338798742281003E-6</v>
      </c>
      <c r="G86" s="54">
        <v>0.80208333333333304</v>
      </c>
      <c r="H86" s="47">
        <f t="shared" si="18"/>
        <v>1.63371591195967E-6</v>
      </c>
      <c r="I86" s="47">
        <f t="shared" si="19"/>
        <v>2.1004918868052904E-6</v>
      </c>
      <c r="J86" s="47">
        <f t="shared" si="20"/>
        <v>2.2171858805166953E-6</v>
      </c>
      <c r="K86" s="47">
        <f t="shared" si="21"/>
        <v>2.1004918868052904E-6</v>
      </c>
      <c r="L86" s="47">
        <f t="shared" si="22"/>
        <v>1.4003279245368601E-6</v>
      </c>
      <c r="M86" s="47">
        <f t="shared" si="23"/>
        <v>0</v>
      </c>
      <c r="N86" s="48">
        <f t="shared" si="24"/>
        <v>0</v>
      </c>
    </row>
    <row r="87" spans="1:14" x14ac:dyDescent="0.2">
      <c r="A87" s="37">
        <f t="shared" si="25"/>
        <v>19.5</v>
      </c>
      <c r="B87" s="34">
        <f t="shared" si="16"/>
        <v>2.1346297934891532E-14</v>
      </c>
      <c r="C87" s="34">
        <f t="shared" si="15"/>
        <v>5.5072194817354845E-5</v>
      </c>
      <c r="D87" s="34">
        <f t="shared" si="14"/>
        <v>5.5072195009471526E-6</v>
      </c>
      <c r="E87" s="42">
        <f t="shared" si="17"/>
        <v>1.3768048753186816E-6</v>
      </c>
      <c r="G87" s="54">
        <v>0.8125</v>
      </c>
      <c r="H87" s="47">
        <f t="shared" si="18"/>
        <v>9.6376341272307712E-7</v>
      </c>
      <c r="I87" s="47">
        <f t="shared" si="19"/>
        <v>1.2391243877868135E-6</v>
      </c>
      <c r="J87" s="47">
        <f t="shared" si="20"/>
        <v>1.3079646315527476E-6</v>
      </c>
      <c r="K87" s="47">
        <f t="shared" si="21"/>
        <v>1.2391243877868135E-6</v>
      </c>
      <c r="L87" s="47">
        <f t="shared" si="22"/>
        <v>8.2608292519120892E-7</v>
      </c>
      <c r="M87" s="47">
        <f t="shared" si="23"/>
        <v>0</v>
      </c>
      <c r="N87" s="48">
        <f t="shared" si="24"/>
        <v>0</v>
      </c>
    </row>
    <row r="88" spans="1:14" x14ac:dyDescent="0.2">
      <c r="A88" s="37">
        <f t="shared" si="25"/>
        <v>19.75</v>
      </c>
      <c r="B88" s="34">
        <f>IF(A88&gt;0,_xlfn.LOGNORM.DIST(A88,$B$2,$B$3,FALSE),0)</f>
        <v>7.8072795135305922E-15</v>
      </c>
      <c r="C88" s="34">
        <f>IF(A88&gt;0,_xlfn.LOGNORM.DIST(A88,$D$2,$D$3,FALSE),0)</f>
        <v>3.217754169933609E-5</v>
      </c>
      <c r="D88" s="34">
        <f t="shared" si="14"/>
        <v>3.2177541769601607E-6</v>
      </c>
      <c r="E88" s="42">
        <f t="shared" si="17"/>
        <v>8.0443854428788875E-7</v>
      </c>
      <c r="G88" s="54">
        <v>0.82291666666666696</v>
      </c>
      <c r="H88" s="47">
        <f t="shared" si="18"/>
        <v>5.6310698100152209E-7</v>
      </c>
      <c r="I88" s="47">
        <f t="shared" si="19"/>
        <v>7.2399468985909986E-7</v>
      </c>
      <c r="J88" s="47">
        <f t="shared" si="20"/>
        <v>7.6421661707349425E-7</v>
      </c>
      <c r="K88" s="47">
        <f t="shared" si="21"/>
        <v>7.2399468985909986E-7</v>
      </c>
      <c r="L88" s="47">
        <f t="shared" si="22"/>
        <v>4.826631265727332E-7</v>
      </c>
      <c r="M88" s="47">
        <f t="shared" si="23"/>
        <v>0</v>
      </c>
      <c r="N88" s="48">
        <f t="shared" si="24"/>
        <v>0</v>
      </c>
    </row>
    <row r="89" spans="1:14" x14ac:dyDescent="0.2">
      <c r="A89" s="37">
        <f t="shared" si="25"/>
        <v>20</v>
      </c>
      <c r="B89" s="34">
        <f t="shared" ref="B89:B104" si="26">IF(A89&gt;0,_xlfn.LOGNORM.DIST(A89,$B$2,$B$3,FALSE),0)</f>
        <v>2.8461398431476952E-15</v>
      </c>
      <c r="C89" s="34">
        <f t="shared" ref="C89:C104" si="27">IF(A89&gt;0,_xlfn.LOGNORM.DIST(A89,$D$2,$D$3,FALSE),0)</f>
        <v>1.8629173213920977E-5</v>
      </c>
      <c r="D89" s="34">
        <f t="shared" si="14"/>
        <v>1.8629173239536236E-6</v>
      </c>
      <c r="E89" s="42">
        <f t="shared" si="17"/>
        <v>4.6572933101610785E-7</v>
      </c>
      <c r="G89" s="54">
        <v>0.83333333333333304</v>
      </c>
      <c r="H89" s="47">
        <f t="shared" si="18"/>
        <v>3.260105317112755E-7</v>
      </c>
      <c r="I89" s="47">
        <f t="shared" si="19"/>
        <v>4.1915639791449707E-7</v>
      </c>
      <c r="J89" s="47">
        <f t="shared" si="20"/>
        <v>4.4244286446530246E-7</v>
      </c>
      <c r="K89" s="47">
        <f t="shared" si="21"/>
        <v>4.1915639791449707E-7</v>
      </c>
      <c r="L89" s="47">
        <f t="shared" si="22"/>
        <v>2.7943759860966471E-7</v>
      </c>
      <c r="M89" s="47">
        <f t="shared" si="23"/>
        <v>0</v>
      </c>
      <c r="N89" s="48">
        <f t="shared" si="24"/>
        <v>0</v>
      </c>
    </row>
    <row r="90" spans="1:14" x14ac:dyDescent="0.2">
      <c r="A90" s="37">
        <f t="shared" si="25"/>
        <v>20.25</v>
      </c>
      <c r="B90" s="34">
        <f t="shared" si="26"/>
        <v>1.0344577563422353E-15</v>
      </c>
      <c r="C90" s="34">
        <f t="shared" si="27"/>
        <v>1.0691503869493622E-5</v>
      </c>
      <c r="D90" s="34">
        <f t="shared" si="14"/>
        <v>1.0691503878803743E-6</v>
      </c>
      <c r="E90" s="42">
        <f t="shared" si="17"/>
        <v>2.6728759698599206E-7</v>
      </c>
      <c r="G90" s="54">
        <v>0.84375</v>
      </c>
      <c r="H90" s="47">
        <f t="shared" si="18"/>
        <v>1.8710131789019443E-7</v>
      </c>
      <c r="I90" s="47">
        <f t="shared" si="19"/>
        <v>2.4055883728739287E-7</v>
      </c>
      <c r="J90" s="47">
        <f t="shared" si="20"/>
        <v>2.5392321713669244E-7</v>
      </c>
      <c r="K90" s="47">
        <f t="shared" si="21"/>
        <v>2.4055883728739287E-7</v>
      </c>
      <c r="L90" s="47">
        <f t="shared" si="22"/>
        <v>1.6037255819159524E-7</v>
      </c>
      <c r="M90" s="47">
        <f t="shared" si="23"/>
        <v>0</v>
      </c>
      <c r="N90" s="48">
        <f t="shared" si="24"/>
        <v>0</v>
      </c>
    </row>
    <row r="91" spans="1:14" x14ac:dyDescent="0.2">
      <c r="A91" s="37">
        <f t="shared" si="25"/>
        <v>20.5</v>
      </c>
      <c r="B91" s="34">
        <f t="shared" si="26"/>
        <v>3.7495871495140056E-16</v>
      </c>
      <c r="C91" s="34">
        <f t="shared" si="27"/>
        <v>6.0850465122432377E-6</v>
      </c>
      <c r="D91" s="34">
        <f t="shared" si="14"/>
        <v>6.0850465156178657E-7</v>
      </c>
      <c r="E91" s="42">
        <f t="shared" si="17"/>
        <v>1.5212616289949523E-7</v>
      </c>
      <c r="G91" s="54">
        <v>0.85416666666666696</v>
      </c>
      <c r="H91" s="47">
        <f t="shared" si="18"/>
        <v>1.0648831402964665E-7</v>
      </c>
      <c r="I91" s="47">
        <f t="shared" si="19"/>
        <v>1.3691354660954571E-7</v>
      </c>
      <c r="J91" s="47">
        <f t="shared" si="20"/>
        <v>1.4451985475452046E-7</v>
      </c>
      <c r="K91" s="47">
        <f t="shared" si="21"/>
        <v>1.3691354660954571E-7</v>
      </c>
      <c r="L91" s="47">
        <f t="shared" si="22"/>
        <v>9.1275697739697133E-8</v>
      </c>
      <c r="M91" s="47">
        <f t="shared" si="23"/>
        <v>0</v>
      </c>
      <c r="N91" s="48">
        <f t="shared" si="24"/>
        <v>0</v>
      </c>
    </row>
    <row r="92" spans="1:14" x14ac:dyDescent="0.2">
      <c r="A92" s="37">
        <f t="shared" si="25"/>
        <v>20.75</v>
      </c>
      <c r="B92" s="34">
        <f t="shared" si="26"/>
        <v>1.3557397380815537E-16</v>
      </c>
      <c r="C92" s="34">
        <f t="shared" si="27"/>
        <v>3.4358636854847268E-6</v>
      </c>
      <c r="D92" s="34">
        <f t="shared" si="14"/>
        <v>3.4358636867048929E-7</v>
      </c>
      <c r="E92" s="42">
        <f t="shared" si="17"/>
        <v>8.5896592172731518E-8</v>
      </c>
      <c r="G92" s="54">
        <v>0.86458333333333304</v>
      </c>
      <c r="H92" s="47">
        <f t="shared" si="18"/>
        <v>6.0127614520912064E-8</v>
      </c>
      <c r="I92" s="47">
        <f t="shared" si="19"/>
        <v>7.7306932955458363E-8</v>
      </c>
      <c r="J92" s="47">
        <f t="shared" si="20"/>
        <v>8.1601762564094934E-8</v>
      </c>
      <c r="K92" s="47">
        <f t="shared" si="21"/>
        <v>7.7306932955458363E-8</v>
      </c>
      <c r="L92" s="47">
        <f t="shared" si="22"/>
        <v>5.1537955303638908E-8</v>
      </c>
      <c r="M92" s="47">
        <f t="shared" si="23"/>
        <v>0</v>
      </c>
      <c r="N92" s="48">
        <f t="shared" si="24"/>
        <v>0</v>
      </c>
    </row>
    <row r="93" spans="1:14" x14ac:dyDescent="0.2">
      <c r="A93" s="37">
        <f t="shared" si="25"/>
        <v>21</v>
      </c>
      <c r="B93" s="34">
        <f t="shared" si="26"/>
        <v>4.8909545656131216E-17</v>
      </c>
      <c r="C93" s="34">
        <f t="shared" si="27"/>
        <v>1.9253691477816388E-6</v>
      </c>
      <c r="D93" s="34">
        <f t="shared" si="14"/>
        <v>1.9253691482218249E-7</v>
      </c>
      <c r="E93" s="42">
        <f t="shared" si="17"/>
        <v>4.8134228708408679E-8</v>
      </c>
      <c r="G93" s="54">
        <v>0.875</v>
      </c>
      <c r="H93" s="47">
        <f t="shared" si="18"/>
        <v>3.3693960095886073E-8</v>
      </c>
      <c r="I93" s="47">
        <f t="shared" si="19"/>
        <v>4.3320805837567813E-8</v>
      </c>
      <c r="J93" s="47">
        <f t="shared" si="20"/>
        <v>4.5727517272988243E-8</v>
      </c>
      <c r="K93" s="47">
        <f t="shared" si="21"/>
        <v>4.3320805837567813E-8</v>
      </c>
      <c r="L93" s="47">
        <f t="shared" si="22"/>
        <v>2.8880537225045206E-8</v>
      </c>
      <c r="M93" s="47">
        <f t="shared" si="23"/>
        <v>0</v>
      </c>
      <c r="N93" s="48">
        <f t="shared" si="24"/>
        <v>0</v>
      </c>
    </row>
    <row r="94" spans="1:14" x14ac:dyDescent="0.2">
      <c r="A94" s="37">
        <f t="shared" si="25"/>
        <v>21.25</v>
      </c>
      <c r="B94" s="34">
        <f t="shared" si="26"/>
        <v>1.7608898022908311E-17</v>
      </c>
      <c r="C94" s="34">
        <f t="shared" si="27"/>
        <v>1.0711488956645387E-6</v>
      </c>
      <c r="D94" s="34">
        <f t="shared" si="14"/>
        <v>1.0711488958230189E-7</v>
      </c>
      <c r="E94" s="42">
        <f t="shared" si="17"/>
        <v>2.6778722397168291E-8</v>
      </c>
      <c r="G94" s="54">
        <v>0.88541666666666696</v>
      </c>
      <c r="H94" s="47">
        <f t="shared" si="18"/>
        <v>1.8745105678017803E-8</v>
      </c>
      <c r="I94" s="47">
        <f t="shared" si="19"/>
        <v>2.4100850157451464E-8</v>
      </c>
      <c r="J94" s="47">
        <f t="shared" si="20"/>
        <v>2.5439786277309875E-8</v>
      </c>
      <c r="K94" s="47">
        <f t="shared" si="21"/>
        <v>2.4100850157451464E-8</v>
      </c>
      <c r="L94" s="47">
        <f t="shared" si="22"/>
        <v>1.6067233438300973E-8</v>
      </c>
      <c r="M94" s="47">
        <f t="shared" si="23"/>
        <v>0</v>
      </c>
      <c r="N94" s="48">
        <f t="shared" si="24"/>
        <v>0</v>
      </c>
    </row>
    <row r="95" spans="1:14" x14ac:dyDescent="0.2">
      <c r="A95" s="37">
        <f t="shared" si="25"/>
        <v>21.5</v>
      </c>
      <c r="B95" s="34">
        <f t="shared" si="26"/>
        <v>6.3282507891630931E-18</v>
      </c>
      <c r="C95" s="34">
        <f t="shared" si="27"/>
        <v>5.9181788938644013E-7</v>
      </c>
      <c r="D95" s="34">
        <f t="shared" si="14"/>
        <v>5.9181788944339436E-8</v>
      </c>
      <c r="E95" s="42">
        <f t="shared" si="17"/>
        <v>1.4795447236964903E-8</v>
      </c>
      <c r="G95" s="54">
        <v>0.89583333333333304</v>
      </c>
      <c r="H95" s="47">
        <f t="shared" si="18"/>
        <v>1.0356813065875431E-8</v>
      </c>
      <c r="I95" s="47">
        <f t="shared" si="19"/>
        <v>1.3315902513268412E-8</v>
      </c>
      <c r="J95" s="47">
        <f t="shared" si="20"/>
        <v>1.4055674875116658E-8</v>
      </c>
      <c r="K95" s="47">
        <f t="shared" si="21"/>
        <v>1.3315902513268412E-8</v>
      </c>
      <c r="L95" s="47">
        <f t="shared" si="22"/>
        <v>8.8772683421789422E-9</v>
      </c>
      <c r="M95" s="47">
        <f t="shared" si="23"/>
        <v>0</v>
      </c>
      <c r="N95" s="48">
        <f t="shared" si="24"/>
        <v>0</v>
      </c>
    </row>
    <row r="96" spans="1:14" x14ac:dyDescent="0.2">
      <c r="A96" s="37">
        <f t="shared" si="25"/>
        <v>21.75</v>
      </c>
      <c r="B96" s="34">
        <f t="shared" si="26"/>
        <v>2.270570699986347E-18</v>
      </c>
      <c r="C96" s="34">
        <f t="shared" si="27"/>
        <v>3.2483793748492723E-7</v>
      </c>
      <c r="D96" s="34">
        <f t="shared" si="14"/>
        <v>3.2483793750536239E-8</v>
      </c>
      <c r="E96" s="42">
        <f t="shared" si="17"/>
        <v>8.1209484381171002E-9</v>
      </c>
      <c r="G96" s="54">
        <v>0.90625</v>
      </c>
      <c r="H96" s="47">
        <f t="shared" si="18"/>
        <v>5.6846639066819696E-9</v>
      </c>
      <c r="I96" s="47">
        <f t="shared" si="19"/>
        <v>7.30885359430539E-9</v>
      </c>
      <c r="J96" s="47">
        <f t="shared" si="20"/>
        <v>7.7149010162112443E-9</v>
      </c>
      <c r="K96" s="47">
        <f t="shared" si="21"/>
        <v>7.30885359430539E-9</v>
      </c>
      <c r="L96" s="47">
        <f t="shared" si="22"/>
        <v>4.8725690628702603E-9</v>
      </c>
      <c r="M96" s="47">
        <f t="shared" si="23"/>
        <v>0</v>
      </c>
      <c r="N96" s="48">
        <f t="shared" si="24"/>
        <v>0</v>
      </c>
    </row>
    <row r="97" spans="1:14" x14ac:dyDescent="0.2">
      <c r="A97" s="37">
        <f t="shared" si="25"/>
        <v>22</v>
      </c>
      <c r="B97" s="34">
        <f t="shared" si="26"/>
        <v>8.1352062884350471E-19</v>
      </c>
      <c r="C97" s="34">
        <f t="shared" si="27"/>
        <v>1.7718115182978476E-7</v>
      </c>
      <c r="D97" s="34">
        <f t="shared" si="14"/>
        <v>1.7718115183710644E-8</v>
      </c>
      <c r="E97" s="42">
        <f t="shared" si="17"/>
        <v>4.4295287961911329E-9</v>
      </c>
      <c r="G97" s="54">
        <v>0.91666666666666696</v>
      </c>
      <c r="H97" s="47">
        <f t="shared" si="18"/>
        <v>3.1006701573337927E-9</v>
      </c>
      <c r="I97" s="47">
        <f t="shared" si="19"/>
        <v>3.9865759165720193E-9</v>
      </c>
      <c r="J97" s="47">
        <f t="shared" si="20"/>
        <v>4.2080523563815757E-9</v>
      </c>
      <c r="K97" s="47">
        <f t="shared" si="21"/>
        <v>3.9865759165720193E-9</v>
      </c>
      <c r="L97" s="47">
        <f t="shared" si="22"/>
        <v>2.6577172777146795E-9</v>
      </c>
      <c r="M97" s="47">
        <f t="shared" si="23"/>
        <v>0</v>
      </c>
      <c r="N97" s="48">
        <f t="shared" si="24"/>
        <v>0</v>
      </c>
    </row>
    <row r="98" spans="1:14" x14ac:dyDescent="0.2">
      <c r="A98" s="37">
        <f t="shared" si="25"/>
        <v>22.25</v>
      </c>
      <c r="B98" s="34">
        <f t="shared" si="26"/>
        <v>2.9111351705169554E-19</v>
      </c>
      <c r="C98" s="34">
        <f t="shared" si="27"/>
        <v>9.60652177700241E-8</v>
      </c>
      <c r="D98" s="34">
        <f t="shared" si="14"/>
        <v>9.6065217772644141E-9</v>
      </c>
      <c r="E98" s="42">
        <f t="shared" si="17"/>
        <v>2.4016304444589543E-9</v>
      </c>
      <c r="G98" s="54">
        <v>0.92708333333333304</v>
      </c>
      <c r="H98" s="47">
        <f t="shared" si="18"/>
        <v>1.6811413111212678E-9</v>
      </c>
      <c r="I98" s="47">
        <f t="shared" si="19"/>
        <v>2.1614674000130591E-9</v>
      </c>
      <c r="J98" s="47">
        <f t="shared" si="20"/>
        <v>2.2815489222360065E-9</v>
      </c>
      <c r="K98" s="47">
        <f t="shared" si="21"/>
        <v>2.1614674000130591E-9</v>
      </c>
      <c r="L98" s="47">
        <f t="shared" si="22"/>
        <v>1.4409782666753726E-9</v>
      </c>
      <c r="M98" s="47">
        <f t="shared" si="23"/>
        <v>0</v>
      </c>
      <c r="N98" s="48">
        <f t="shared" si="24"/>
        <v>0</v>
      </c>
    </row>
    <row r="99" spans="1:14" x14ac:dyDescent="0.2">
      <c r="A99" s="37">
        <f t="shared" si="25"/>
        <v>22.5</v>
      </c>
      <c r="B99" s="34">
        <f t="shared" si="26"/>
        <v>1.0406159022253264E-19</v>
      </c>
      <c r="C99" s="34">
        <f t="shared" si="27"/>
        <v>5.1788437839541084E-8</v>
      </c>
      <c r="D99" s="34">
        <f t="shared" si="14"/>
        <v>5.1788437840477634E-9</v>
      </c>
      <c r="E99" s="42">
        <f t="shared" si="17"/>
        <v>1.2947109460889512E-9</v>
      </c>
      <c r="G99" s="54">
        <v>0.9375</v>
      </c>
      <c r="H99" s="47">
        <f t="shared" si="18"/>
        <v>9.0629766226226575E-10</v>
      </c>
      <c r="I99" s="47">
        <f t="shared" si="19"/>
        <v>1.165239851480056E-9</v>
      </c>
      <c r="J99" s="47">
        <f t="shared" si="20"/>
        <v>1.2299753987845035E-9</v>
      </c>
      <c r="K99" s="47">
        <f t="shared" si="21"/>
        <v>1.165239851480056E-9</v>
      </c>
      <c r="L99" s="47">
        <f t="shared" si="22"/>
        <v>7.7682656765337072E-10</v>
      </c>
      <c r="M99" s="47">
        <f t="shared" si="23"/>
        <v>0</v>
      </c>
      <c r="N99" s="48">
        <f t="shared" si="24"/>
        <v>0</v>
      </c>
    </row>
    <row r="100" spans="1:14" x14ac:dyDescent="0.2">
      <c r="A100" s="37">
        <f t="shared" si="25"/>
        <v>22.75</v>
      </c>
      <c r="B100" s="34">
        <f t="shared" si="26"/>
        <v>3.7164050466053041E-20</v>
      </c>
      <c r="C100" s="34">
        <f t="shared" si="27"/>
        <v>2.7767207719458482E-8</v>
      </c>
      <c r="D100" s="34">
        <f t="shared" si="14"/>
        <v>2.7767207719792958E-9</v>
      </c>
      <c r="E100" s="42">
        <f t="shared" si="17"/>
        <v>6.9418019303611432E-10</v>
      </c>
      <c r="G100" s="54">
        <v>0.94791666666666696</v>
      </c>
      <c r="H100" s="47">
        <f t="shared" si="18"/>
        <v>4.8592613512527996E-10</v>
      </c>
      <c r="I100" s="47">
        <f t="shared" si="19"/>
        <v>6.2476217373250287E-10</v>
      </c>
      <c r="J100" s="47">
        <f t="shared" si="20"/>
        <v>6.5947118338430854E-10</v>
      </c>
      <c r="K100" s="47">
        <f t="shared" si="21"/>
        <v>6.2476217373250287E-10</v>
      </c>
      <c r="L100" s="47">
        <f t="shared" si="22"/>
        <v>4.1650811582166856E-10</v>
      </c>
      <c r="M100" s="47">
        <f t="shared" si="23"/>
        <v>0</v>
      </c>
      <c r="N100" s="48">
        <f t="shared" si="24"/>
        <v>0</v>
      </c>
    </row>
    <row r="101" spans="1:14" x14ac:dyDescent="0.2">
      <c r="A101" s="37">
        <f t="shared" si="25"/>
        <v>23</v>
      </c>
      <c r="B101" s="34">
        <f t="shared" si="26"/>
        <v>1.3262540550549588E-20</v>
      </c>
      <c r="C101" s="34">
        <f t="shared" si="27"/>
        <v>1.4810648341719785E-8</v>
      </c>
      <c r="D101" s="34">
        <f t="shared" ref="D101:D104" si="28">$B$4*B101 + $D$4*C101</f>
        <v>1.4810648341839148E-9</v>
      </c>
      <c r="E101" s="42">
        <f t="shared" si="17"/>
        <v>3.7026620856800242E-10</v>
      </c>
      <c r="G101" s="54">
        <v>0.95833333333333304</v>
      </c>
      <c r="H101" s="47">
        <f t="shared" si="18"/>
        <v>2.591863459976017E-10</v>
      </c>
      <c r="I101" s="47">
        <f t="shared" si="19"/>
        <v>3.3323958771120217E-10</v>
      </c>
      <c r="J101" s="47">
        <f t="shared" si="20"/>
        <v>3.517528981396023E-10</v>
      </c>
      <c r="K101" s="47">
        <f t="shared" si="21"/>
        <v>3.3323958771120217E-10</v>
      </c>
      <c r="L101" s="47">
        <f t="shared" si="22"/>
        <v>2.2215972514080144E-10</v>
      </c>
      <c r="M101" s="47">
        <f t="shared" si="23"/>
        <v>0</v>
      </c>
      <c r="N101" s="48">
        <f t="shared" si="24"/>
        <v>0</v>
      </c>
    </row>
    <row r="102" spans="1:14" x14ac:dyDescent="0.2">
      <c r="A102" s="37">
        <f t="shared" si="25"/>
        <v>23.25</v>
      </c>
      <c r="B102" s="34">
        <f t="shared" si="26"/>
        <v>4.7300388472475066E-21</v>
      </c>
      <c r="C102" s="34">
        <f t="shared" si="27"/>
        <v>7.8607375137243201E-9</v>
      </c>
      <c r="D102" s="34">
        <f t="shared" si="28"/>
        <v>7.8607375137668911E-10</v>
      </c>
      <c r="E102" s="42">
        <f t="shared" si="17"/>
        <v>1.9651843785586135E-10</v>
      </c>
      <c r="G102" s="54">
        <v>0.96875</v>
      </c>
      <c r="H102" s="47">
        <f t="shared" si="18"/>
        <v>1.3756290649910294E-10</v>
      </c>
      <c r="I102" s="47">
        <f t="shared" si="19"/>
        <v>1.7686659407027521E-10</v>
      </c>
      <c r="J102" s="47">
        <f t="shared" si="20"/>
        <v>1.8669251596306828E-10</v>
      </c>
      <c r="K102" s="47">
        <f t="shared" si="21"/>
        <v>1.7686659407027521E-10</v>
      </c>
      <c r="L102" s="47">
        <f t="shared" si="22"/>
        <v>1.1791106271351681E-10</v>
      </c>
      <c r="M102" s="47">
        <f t="shared" si="23"/>
        <v>0</v>
      </c>
      <c r="N102" s="48">
        <f t="shared" si="24"/>
        <v>0</v>
      </c>
    </row>
    <row r="103" spans="1:14" x14ac:dyDescent="0.2">
      <c r="A103" s="37">
        <f t="shared" si="25"/>
        <v>23.5</v>
      </c>
      <c r="B103" s="34">
        <f t="shared" si="26"/>
        <v>1.6861529498998129E-21</v>
      </c>
      <c r="C103" s="34">
        <f t="shared" si="27"/>
        <v>4.1524099429750873E-9</v>
      </c>
      <c r="D103" s="34">
        <f t="shared" si="28"/>
        <v>4.1524099429902625E-10</v>
      </c>
      <c r="E103" s="42">
        <f t="shared" si="17"/>
        <v>1.0381024858093127E-10</v>
      </c>
      <c r="G103" s="54">
        <v>0.97916666666666696</v>
      </c>
      <c r="H103" s="47">
        <f t="shared" si="18"/>
        <v>7.2667174006651892E-11</v>
      </c>
      <c r="I103" s="47">
        <f t="shared" si="19"/>
        <v>9.3429223722838142E-11</v>
      </c>
      <c r="J103" s="47">
        <f t="shared" si="20"/>
        <v>9.8619736151884701E-11</v>
      </c>
      <c r="K103" s="47">
        <f t="shared" si="21"/>
        <v>9.3429223722838142E-11</v>
      </c>
      <c r="L103" s="47">
        <f t="shared" si="22"/>
        <v>6.2286149148558761E-11</v>
      </c>
      <c r="M103" s="47">
        <f t="shared" si="23"/>
        <v>0</v>
      </c>
      <c r="N103" s="48">
        <f t="shared" si="24"/>
        <v>0</v>
      </c>
    </row>
    <row r="104" spans="1:14" ht="17" thickBot="1" x14ac:dyDescent="0.25">
      <c r="A104" s="37">
        <f t="shared" si="25"/>
        <v>23.75</v>
      </c>
      <c r="B104" s="34">
        <f t="shared" si="26"/>
        <v>6.0086987661261909E-22</v>
      </c>
      <c r="C104" s="34">
        <f t="shared" si="27"/>
        <v>2.1836391177438305E-9</v>
      </c>
      <c r="D104" s="34">
        <f t="shared" si="28"/>
        <v>2.1836391177492386E-10</v>
      </c>
      <c r="E104" s="42">
        <f t="shared" si="17"/>
        <v>5.4590977946978076E-11</v>
      </c>
      <c r="G104" s="54">
        <v>0.98958333333333304</v>
      </c>
      <c r="H104" s="47">
        <f t="shared" si="18"/>
        <v>3.8213684562884649E-11</v>
      </c>
      <c r="I104" s="47">
        <f t="shared" si="19"/>
        <v>4.9131880152280269E-11</v>
      </c>
      <c r="J104" s="47">
        <f t="shared" si="20"/>
        <v>5.186142904962917E-11</v>
      </c>
      <c r="K104" s="47">
        <f t="shared" si="21"/>
        <v>4.9131880152280269E-11</v>
      </c>
      <c r="L104" s="47">
        <f t="shared" si="22"/>
        <v>3.2754586768186842E-11</v>
      </c>
      <c r="M104" s="47">
        <f t="shared" si="23"/>
        <v>0</v>
      </c>
      <c r="N104" s="48">
        <f t="shared" si="24"/>
        <v>0</v>
      </c>
    </row>
    <row r="105" spans="1:14" ht="17" thickBot="1" x14ac:dyDescent="0.25">
      <c r="A105" s="38" t="s">
        <v>41</v>
      </c>
      <c r="B105" s="43">
        <f>SUM(B9:B104)</f>
        <v>3.9999999999999964</v>
      </c>
      <c r="C105" s="43">
        <f t="shared" ref="C105:E105" si="29">SUM(C9:C104)</f>
        <v>3.9999999976207961</v>
      </c>
      <c r="D105" s="43">
        <f t="shared" si="29"/>
        <v>3.999999999762077</v>
      </c>
      <c r="E105" s="44">
        <f t="shared" si="29"/>
        <v>0.99999999999999989</v>
      </c>
      <c r="F105" s="34"/>
      <c r="G105" s="55" t="s">
        <v>41</v>
      </c>
      <c r="H105" s="49">
        <f t="shared" ref="H105" si="30">SUM(H9:H104)</f>
        <v>0.70000000000000018</v>
      </c>
      <c r="I105" s="49">
        <f t="shared" ref="I105" si="31">SUM(I9:I104)</f>
        <v>0.90000000000000024</v>
      </c>
      <c r="J105" s="49">
        <f t="shared" ref="J105" si="32">SUM(J9:J104)</f>
        <v>0.95</v>
      </c>
      <c r="K105" s="49">
        <f t="shared" ref="K105" si="33">SUM(K9:K104)</f>
        <v>0.90000000000000024</v>
      </c>
      <c r="L105" s="49">
        <f t="shared" ref="L105" si="34">SUM(L9:L104)</f>
        <v>0.6</v>
      </c>
      <c r="M105" s="49">
        <f t="shared" ref="M105" si="35">SUM(M9:M104)</f>
        <v>0</v>
      </c>
      <c r="N105" s="50">
        <f t="shared" ref="N105" si="36">SUM(N9:N104)</f>
        <v>0</v>
      </c>
    </row>
  </sheetData>
  <mergeCells count="1">
    <mergeCell ref="A1:E1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894F-6D3A-AD4D-96CC-4C5D0CB07EEF}">
  <dimension ref="A1:N105"/>
  <sheetViews>
    <sheetView tabSelected="1" workbookViewId="0">
      <selection activeCell="C4" sqref="C4"/>
    </sheetView>
  </sheetViews>
  <sheetFormatPr baseColWidth="10" defaultRowHeight="16" x14ac:dyDescent="0.2"/>
  <cols>
    <col min="5" max="5" width="14.6640625" customWidth="1"/>
  </cols>
  <sheetData>
    <row r="1" spans="1:14" x14ac:dyDescent="0.2">
      <c r="A1" s="16" t="s">
        <v>5</v>
      </c>
      <c r="B1" s="17"/>
      <c r="C1" s="17"/>
      <c r="D1" s="17"/>
      <c r="E1" s="17"/>
      <c r="I1" t="s">
        <v>4</v>
      </c>
    </row>
    <row r="2" spans="1:14" x14ac:dyDescent="0.2">
      <c r="A2" t="s">
        <v>37</v>
      </c>
      <c r="B2" s="2">
        <f>LN(I2)</f>
        <v>1.791759469228055</v>
      </c>
      <c r="C2" t="s">
        <v>39</v>
      </c>
      <c r="D2" s="3">
        <f>LN(I3)</f>
        <v>2.6390573296152584</v>
      </c>
      <c r="E2" t="s">
        <v>30</v>
      </c>
      <c r="F2" s="2">
        <v>0.25</v>
      </c>
      <c r="H2" t="s">
        <v>42</v>
      </c>
      <c r="I2">
        <v>6</v>
      </c>
    </row>
    <row r="3" spans="1:14" x14ac:dyDescent="0.2">
      <c r="A3" t="s">
        <v>38</v>
      </c>
      <c r="B3" s="2">
        <v>0.1</v>
      </c>
      <c r="C3" t="s">
        <v>40</v>
      </c>
      <c r="D3" s="2">
        <v>0.05</v>
      </c>
      <c r="F3" s="2"/>
      <c r="H3" t="s">
        <v>43</v>
      </c>
      <c r="I3">
        <v>14</v>
      </c>
    </row>
    <row r="4" spans="1:14" x14ac:dyDescent="0.2">
      <c r="A4" t="s">
        <v>3</v>
      </c>
      <c r="B4" s="2">
        <v>1</v>
      </c>
      <c r="C4" t="s">
        <v>2</v>
      </c>
      <c r="D4" s="2">
        <v>1</v>
      </c>
      <c r="E4" t="s">
        <v>31</v>
      </c>
      <c r="F4" s="2">
        <v>23.45</v>
      </c>
    </row>
    <row r="5" spans="1:14" x14ac:dyDescent="0.2">
      <c r="A5" t="s">
        <v>1</v>
      </c>
      <c r="B5" s="2">
        <f>B4+D4</f>
        <v>2</v>
      </c>
      <c r="F5" s="2"/>
    </row>
    <row r="6" spans="1:14" ht="17" thickBot="1" x14ac:dyDescent="0.25"/>
    <row r="7" spans="1:14" ht="17" thickBot="1" x14ac:dyDescent="0.25">
      <c r="G7" s="51" t="s">
        <v>36</v>
      </c>
      <c r="H7" s="32">
        <v>0.95</v>
      </c>
      <c r="I7" s="32">
        <v>0.99</v>
      </c>
      <c r="J7" s="32">
        <v>0.99</v>
      </c>
      <c r="K7" s="32">
        <v>0.99</v>
      </c>
      <c r="L7" s="32">
        <v>0.9</v>
      </c>
      <c r="M7" s="32">
        <v>0.6</v>
      </c>
      <c r="N7" s="33">
        <v>0.55000000000000004</v>
      </c>
    </row>
    <row r="8" spans="1:14" ht="18" thickTop="1" thickBot="1" x14ac:dyDescent="0.25">
      <c r="A8" s="38" t="s">
        <v>0</v>
      </c>
      <c r="B8" s="39" t="s">
        <v>34</v>
      </c>
      <c r="C8" s="39" t="s">
        <v>35</v>
      </c>
      <c r="D8" s="39" t="s">
        <v>32</v>
      </c>
      <c r="E8" s="40" t="s">
        <v>33</v>
      </c>
      <c r="G8" s="52" t="s">
        <v>0</v>
      </c>
      <c r="H8" s="30" t="s">
        <v>9</v>
      </c>
      <c r="I8" s="30" t="s">
        <v>10</v>
      </c>
      <c r="J8" s="30" t="s">
        <v>11</v>
      </c>
      <c r="K8" s="30" t="s">
        <v>12</v>
      </c>
      <c r="L8" s="30" t="s">
        <v>13</v>
      </c>
      <c r="M8" s="30" t="s">
        <v>14</v>
      </c>
      <c r="N8" s="31" t="s">
        <v>15</v>
      </c>
    </row>
    <row r="9" spans="1:14" x14ac:dyDescent="0.2">
      <c r="A9" s="35">
        <v>0</v>
      </c>
      <c r="B9" s="36">
        <f>IF(A9&gt;0,_xlfn.LOGNORM.DIST(A9,$B$2,$B$3,FALSE),0)</f>
        <v>0</v>
      </c>
      <c r="C9" s="36">
        <f>IF(A9&gt;0,_xlfn.LOGNORM.DIST(A9,$D$2,$D$3,FALSE),0)</f>
        <v>0</v>
      </c>
      <c r="D9" s="36">
        <f t="shared" ref="D9:D72" si="0">$B$4*B9 + $D$4*C9</f>
        <v>0</v>
      </c>
      <c r="E9" s="41">
        <f>IF($D$105&gt;0, D9/$D$105, 0)</f>
        <v>0</v>
      </c>
      <c r="G9" s="53">
        <v>0</v>
      </c>
      <c r="H9" s="45">
        <f>E9*$H$7</f>
        <v>0</v>
      </c>
      <c r="I9" s="45">
        <f>E9*$I$7</f>
        <v>0</v>
      </c>
      <c r="J9" s="45">
        <f>E9*$J$7</f>
        <v>0</v>
      </c>
      <c r="K9" s="45">
        <f>E9*$K$7</f>
        <v>0</v>
      </c>
      <c r="L9" s="45">
        <f>E9*$L$7</f>
        <v>0</v>
      </c>
      <c r="M9" s="45">
        <f>E9*$M$7</f>
        <v>0</v>
      </c>
      <c r="N9" s="46">
        <f>E9*$N$7</f>
        <v>0</v>
      </c>
    </row>
    <row r="10" spans="1:14" x14ac:dyDescent="0.2">
      <c r="A10" s="37">
        <f>A9+$F$2</f>
        <v>0.25</v>
      </c>
      <c r="B10" s="34">
        <f t="shared" ref="B10:B73" si="1">IF(A10&gt;0,_xlfn.LOGNORM.DIST(A10,$B$2,$B$3,FALSE),0)</f>
        <v>7.6504835664629357E-219</v>
      </c>
      <c r="C10" s="34">
        <f t="shared" ref="C10:C64" si="2">IF(A10&gt;0,_xlfn.LOGNORM.DIST(A10,$D$2,$D$3,FALSE),0)</f>
        <v>0</v>
      </c>
      <c r="D10" s="34">
        <f t="shared" si="0"/>
        <v>7.6504835664629357E-219</v>
      </c>
      <c r="E10" s="42">
        <f t="shared" ref="E10:E73" si="3">IF($D$105&gt;0, D10/$D$105, 0)</f>
        <v>9.5631044580786681E-220</v>
      </c>
      <c r="G10" s="54">
        <v>1.0416666666666666E-2</v>
      </c>
      <c r="H10" s="47">
        <f t="shared" ref="H10:H73" si="4">E10*$H$7</f>
        <v>9.0849492351747343E-220</v>
      </c>
      <c r="I10" s="47">
        <f t="shared" ref="I10:I73" si="5">E10*$I$7</f>
        <v>9.467473413497881E-220</v>
      </c>
      <c r="J10" s="47">
        <f t="shared" ref="J10:J73" si="6">E10*$J$7</f>
        <v>9.467473413497881E-220</v>
      </c>
      <c r="K10" s="47">
        <f t="shared" ref="K10:K73" si="7">E10*$K$7</f>
        <v>9.467473413497881E-220</v>
      </c>
      <c r="L10" s="47">
        <f t="shared" ref="L10:L73" si="8">E10*$L$7</f>
        <v>8.6067940122708021E-220</v>
      </c>
      <c r="M10" s="47">
        <f t="shared" ref="M10:M73" si="9">E10*$M$7</f>
        <v>5.7378626748472009E-220</v>
      </c>
      <c r="N10" s="48">
        <f t="shared" ref="N10:N73" si="10">E10*$N$7</f>
        <v>5.2597074519432678E-220</v>
      </c>
    </row>
    <row r="11" spans="1:14" x14ac:dyDescent="0.2">
      <c r="A11" s="37">
        <f t="shared" ref="A11:A74" si="11">A10+$F$2</f>
        <v>0.5</v>
      </c>
      <c r="B11" s="34">
        <f t="shared" si="1"/>
        <v>6.5872982915513429E-134</v>
      </c>
      <c r="C11" s="34">
        <f t="shared" si="2"/>
        <v>0</v>
      </c>
      <c r="D11" s="34">
        <f t="shared" si="0"/>
        <v>6.5872982915513429E-134</v>
      </c>
      <c r="E11" s="42">
        <f t="shared" si="3"/>
        <v>8.2341228644391774E-135</v>
      </c>
      <c r="G11" s="54">
        <v>2.0833333333333301E-2</v>
      </c>
      <c r="H11" s="47">
        <f t="shared" si="4"/>
        <v>7.8224167212172186E-135</v>
      </c>
      <c r="I11" s="47">
        <f t="shared" si="5"/>
        <v>8.1517816357947859E-135</v>
      </c>
      <c r="J11" s="47">
        <f t="shared" si="6"/>
        <v>8.1517816357947859E-135</v>
      </c>
      <c r="K11" s="47">
        <f t="shared" si="7"/>
        <v>8.1517816357947859E-135</v>
      </c>
      <c r="L11" s="47">
        <f t="shared" si="8"/>
        <v>7.4107105779952597E-135</v>
      </c>
      <c r="M11" s="47">
        <f t="shared" si="9"/>
        <v>4.9404737186635065E-135</v>
      </c>
      <c r="N11" s="48">
        <f t="shared" si="10"/>
        <v>4.5287675754415482E-135</v>
      </c>
    </row>
    <row r="12" spans="1:14" x14ac:dyDescent="0.2">
      <c r="A12" s="37">
        <f t="shared" si="11"/>
        <v>0.75</v>
      </c>
      <c r="B12" s="34">
        <f t="shared" si="1"/>
        <v>6.756270999035283E-94</v>
      </c>
      <c r="C12" s="34">
        <f t="shared" si="2"/>
        <v>0</v>
      </c>
      <c r="D12" s="34">
        <f t="shared" si="0"/>
        <v>6.756270999035283E-94</v>
      </c>
      <c r="E12" s="42">
        <f t="shared" si="3"/>
        <v>8.4453387487941024E-95</v>
      </c>
      <c r="G12" s="54">
        <v>3.125E-2</v>
      </c>
      <c r="H12" s="47">
        <f t="shared" si="4"/>
        <v>8.0230718113543964E-95</v>
      </c>
      <c r="I12" s="47">
        <f t="shared" si="5"/>
        <v>8.3608853613061615E-95</v>
      </c>
      <c r="J12" s="47">
        <f t="shared" si="6"/>
        <v>8.3608853613061615E-95</v>
      </c>
      <c r="K12" s="47">
        <f t="shared" si="7"/>
        <v>8.3608853613061615E-95</v>
      </c>
      <c r="L12" s="47">
        <f t="shared" si="8"/>
        <v>7.6008048739146918E-95</v>
      </c>
      <c r="M12" s="47">
        <f t="shared" si="9"/>
        <v>5.0672032492764612E-95</v>
      </c>
      <c r="N12" s="48">
        <f t="shared" si="10"/>
        <v>4.6449363118367565E-95</v>
      </c>
    </row>
    <row r="13" spans="1:14" x14ac:dyDescent="0.2">
      <c r="A13" s="37">
        <f t="shared" si="11"/>
        <v>1</v>
      </c>
      <c r="B13" s="34">
        <f t="shared" si="1"/>
        <v>7.7253203482453487E-70</v>
      </c>
      <c r="C13" s="34">
        <f t="shared" si="2"/>
        <v>0</v>
      </c>
      <c r="D13" s="34">
        <f t="shared" si="0"/>
        <v>7.7253203482453487E-70</v>
      </c>
      <c r="E13" s="42">
        <f t="shared" si="3"/>
        <v>9.6566504353066842E-71</v>
      </c>
      <c r="G13" s="54">
        <v>4.1666666666666699E-2</v>
      </c>
      <c r="H13" s="47">
        <f t="shared" si="4"/>
        <v>9.1738179135413491E-71</v>
      </c>
      <c r="I13" s="47">
        <f t="shared" si="5"/>
        <v>9.5600839309536169E-71</v>
      </c>
      <c r="J13" s="47">
        <f t="shared" si="6"/>
        <v>9.5600839309536169E-71</v>
      </c>
      <c r="K13" s="47">
        <f t="shared" si="7"/>
        <v>9.5600839309536169E-71</v>
      </c>
      <c r="L13" s="47">
        <f t="shared" si="8"/>
        <v>8.6909853917760156E-71</v>
      </c>
      <c r="M13" s="47">
        <f t="shared" si="9"/>
        <v>5.7939902611840107E-71</v>
      </c>
      <c r="N13" s="48">
        <f t="shared" si="10"/>
        <v>5.3111577394186764E-71</v>
      </c>
    </row>
    <row r="14" spans="1:14" x14ac:dyDescent="0.2">
      <c r="A14" s="37">
        <f t="shared" si="11"/>
        <v>1.25</v>
      </c>
      <c r="B14" s="34">
        <f t="shared" si="1"/>
        <v>1.1849706904987447E-53</v>
      </c>
      <c r="C14" s="34">
        <f t="shared" si="2"/>
        <v>0</v>
      </c>
      <c r="D14" s="34">
        <f t="shared" si="0"/>
        <v>1.1849706904987447E-53</v>
      </c>
      <c r="E14" s="42">
        <f t="shared" si="3"/>
        <v>1.4812133631234306E-54</v>
      </c>
      <c r="G14" s="54">
        <v>5.2083333333333301E-2</v>
      </c>
      <c r="H14" s="47">
        <f t="shared" si="4"/>
        <v>1.4071526949672589E-54</v>
      </c>
      <c r="I14" s="47">
        <f t="shared" si="5"/>
        <v>1.4664012294921962E-54</v>
      </c>
      <c r="J14" s="47">
        <f t="shared" si="6"/>
        <v>1.4664012294921962E-54</v>
      </c>
      <c r="K14" s="47">
        <f t="shared" si="7"/>
        <v>1.4664012294921962E-54</v>
      </c>
      <c r="L14" s="47">
        <f t="shared" si="8"/>
        <v>1.3330920268110876E-54</v>
      </c>
      <c r="M14" s="47">
        <f t="shared" si="9"/>
        <v>8.8872801787405834E-55</v>
      </c>
      <c r="N14" s="48">
        <f t="shared" si="10"/>
        <v>8.1466734971788697E-55</v>
      </c>
    </row>
    <row r="15" spans="1:14" x14ac:dyDescent="0.2">
      <c r="A15" s="37">
        <f t="shared" si="11"/>
        <v>1.5</v>
      </c>
      <c r="B15" s="34">
        <f t="shared" si="1"/>
        <v>4.9340126097596263E-42</v>
      </c>
      <c r="C15" s="34">
        <f t="shared" si="2"/>
        <v>0</v>
      </c>
      <c r="D15" s="34">
        <f t="shared" si="0"/>
        <v>4.9340126097596263E-42</v>
      </c>
      <c r="E15" s="42">
        <f t="shared" si="3"/>
        <v>6.1675157621995313E-43</v>
      </c>
      <c r="G15" s="54">
        <v>6.25E-2</v>
      </c>
      <c r="H15" s="47">
        <f t="shared" si="4"/>
        <v>5.8591399740895546E-43</v>
      </c>
      <c r="I15" s="47">
        <f t="shared" si="5"/>
        <v>6.1058406045775358E-43</v>
      </c>
      <c r="J15" s="47">
        <f t="shared" si="6"/>
        <v>6.1058406045775358E-43</v>
      </c>
      <c r="K15" s="47">
        <f t="shared" si="7"/>
        <v>6.1058406045775358E-43</v>
      </c>
      <c r="L15" s="47">
        <f t="shared" si="8"/>
        <v>5.5507641859795779E-43</v>
      </c>
      <c r="M15" s="47">
        <f t="shared" si="9"/>
        <v>3.7005094573197186E-43</v>
      </c>
      <c r="N15" s="48">
        <f t="shared" si="10"/>
        <v>3.3921336692097423E-43</v>
      </c>
    </row>
    <row r="16" spans="1:14" x14ac:dyDescent="0.2">
      <c r="A16" s="37">
        <f t="shared" si="11"/>
        <v>1.75</v>
      </c>
      <c r="B16" s="34">
        <f t="shared" si="1"/>
        <v>2.4606764041585969E-33</v>
      </c>
      <c r="C16" s="34">
        <f t="shared" si="2"/>
        <v>0</v>
      </c>
      <c r="D16" s="34">
        <f t="shared" si="0"/>
        <v>2.4606764041585969E-33</v>
      </c>
      <c r="E16" s="42">
        <f t="shared" si="3"/>
        <v>3.0758455051982453E-34</v>
      </c>
      <c r="G16" s="54">
        <v>7.2916666666666699E-2</v>
      </c>
      <c r="H16" s="47">
        <f t="shared" si="4"/>
        <v>2.9220532299383329E-34</v>
      </c>
      <c r="I16" s="47">
        <f t="shared" si="5"/>
        <v>3.0450870501462629E-34</v>
      </c>
      <c r="J16" s="47">
        <f t="shared" si="6"/>
        <v>3.0450870501462629E-34</v>
      </c>
      <c r="K16" s="47">
        <f t="shared" si="7"/>
        <v>3.0450870501462629E-34</v>
      </c>
      <c r="L16" s="47">
        <f t="shared" si="8"/>
        <v>2.7682609546784209E-34</v>
      </c>
      <c r="M16" s="47">
        <f t="shared" si="9"/>
        <v>1.845507303118947E-34</v>
      </c>
      <c r="N16" s="48">
        <f t="shared" si="10"/>
        <v>1.691715027859035E-34</v>
      </c>
    </row>
    <row r="17" spans="1:14" x14ac:dyDescent="0.2">
      <c r="A17" s="37">
        <f t="shared" si="11"/>
        <v>2</v>
      </c>
      <c r="B17" s="34">
        <f t="shared" si="1"/>
        <v>1.2340034934124728E-26</v>
      </c>
      <c r="C17" s="34">
        <f t="shared" si="2"/>
        <v>0</v>
      </c>
      <c r="D17" s="34">
        <f t="shared" si="0"/>
        <v>1.2340034934124728E-26</v>
      </c>
      <c r="E17" s="42">
        <f t="shared" si="3"/>
        <v>1.5425043667655906E-27</v>
      </c>
      <c r="G17" s="54">
        <v>8.3333333333333301E-2</v>
      </c>
      <c r="H17" s="47">
        <f t="shared" si="4"/>
        <v>1.4653791484273109E-27</v>
      </c>
      <c r="I17" s="47">
        <f t="shared" si="5"/>
        <v>1.5270793230979346E-27</v>
      </c>
      <c r="J17" s="47">
        <f t="shared" si="6"/>
        <v>1.5270793230979346E-27</v>
      </c>
      <c r="K17" s="47">
        <f t="shared" si="7"/>
        <v>1.5270793230979346E-27</v>
      </c>
      <c r="L17" s="47">
        <f t="shared" si="8"/>
        <v>1.3882539300890317E-27</v>
      </c>
      <c r="M17" s="47">
        <f t="shared" si="9"/>
        <v>9.2550262005935426E-28</v>
      </c>
      <c r="N17" s="48">
        <f t="shared" si="10"/>
        <v>8.4837740172107496E-28</v>
      </c>
    </row>
    <row r="18" spans="1:14" x14ac:dyDescent="0.2">
      <c r="A18" s="37">
        <f t="shared" si="11"/>
        <v>2.25</v>
      </c>
      <c r="B18" s="34">
        <f t="shared" si="1"/>
        <v>2.2834834780879251E-21</v>
      </c>
      <c r="C18" s="34">
        <f t="shared" si="2"/>
        <v>1.8327030316622728E-290</v>
      </c>
      <c r="D18" s="34">
        <f t="shared" si="0"/>
        <v>2.2834834780879251E-21</v>
      </c>
      <c r="E18" s="42">
        <f t="shared" si="3"/>
        <v>2.8543543476099059E-22</v>
      </c>
      <c r="G18" s="54">
        <v>9.375E-2</v>
      </c>
      <c r="H18" s="47">
        <f t="shared" si="4"/>
        <v>2.7116366302294106E-22</v>
      </c>
      <c r="I18" s="47">
        <f t="shared" si="5"/>
        <v>2.8258108041338066E-22</v>
      </c>
      <c r="J18" s="47">
        <f t="shared" si="6"/>
        <v>2.8258108041338066E-22</v>
      </c>
      <c r="K18" s="47">
        <f t="shared" si="7"/>
        <v>2.8258108041338066E-22</v>
      </c>
      <c r="L18" s="47">
        <f t="shared" si="8"/>
        <v>2.5689189128489154E-22</v>
      </c>
      <c r="M18" s="47">
        <f t="shared" si="9"/>
        <v>1.7126126085659434E-22</v>
      </c>
      <c r="N18" s="48">
        <f t="shared" si="10"/>
        <v>1.5698948911854484E-22</v>
      </c>
    </row>
    <row r="19" spans="1:14" x14ac:dyDescent="0.2">
      <c r="A19" s="37">
        <f t="shared" si="11"/>
        <v>2.5</v>
      </c>
      <c r="B19" s="34">
        <f t="shared" si="1"/>
        <v>3.629253227322912E-17</v>
      </c>
      <c r="C19" s="34">
        <f t="shared" si="2"/>
        <v>5.1681094385585405E-258</v>
      </c>
      <c r="D19" s="34">
        <f t="shared" si="0"/>
        <v>3.629253227322912E-17</v>
      </c>
      <c r="E19" s="42">
        <f t="shared" si="3"/>
        <v>4.5365665341536393E-18</v>
      </c>
      <c r="G19" s="54">
        <v>0.104166666666667</v>
      </c>
      <c r="H19" s="47">
        <f t="shared" si="4"/>
        <v>4.3097382074459574E-18</v>
      </c>
      <c r="I19" s="47">
        <f t="shared" si="5"/>
        <v>4.4912008688121032E-18</v>
      </c>
      <c r="J19" s="47">
        <f t="shared" si="6"/>
        <v>4.4912008688121032E-18</v>
      </c>
      <c r="K19" s="47">
        <f t="shared" si="7"/>
        <v>4.4912008688121032E-18</v>
      </c>
      <c r="L19" s="47">
        <f t="shared" si="8"/>
        <v>4.0829098807382756E-18</v>
      </c>
      <c r="M19" s="47">
        <f t="shared" si="9"/>
        <v>2.7219399204921833E-18</v>
      </c>
      <c r="N19" s="48">
        <f t="shared" si="10"/>
        <v>2.4951115937845019E-18</v>
      </c>
    </row>
    <row r="20" spans="1:14" x14ac:dyDescent="0.2">
      <c r="A20" s="37">
        <f t="shared" si="11"/>
        <v>2.75</v>
      </c>
      <c r="B20" s="34">
        <f t="shared" si="1"/>
        <v>8.809830534124186E-14</v>
      </c>
      <c r="C20" s="34">
        <f t="shared" si="2"/>
        <v>2.5520214243774766E-230</v>
      </c>
      <c r="D20" s="34">
        <f t="shared" si="0"/>
        <v>8.809830534124186E-14</v>
      </c>
      <c r="E20" s="42">
        <f t="shared" si="3"/>
        <v>1.1012288167655229E-14</v>
      </c>
      <c r="G20" s="54">
        <v>0.114583333333333</v>
      </c>
      <c r="H20" s="47">
        <f t="shared" si="4"/>
        <v>1.0461673759272467E-14</v>
      </c>
      <c r="I20" s="47">
        <f t="shared" si="5"/>
        <v>1.0902165285978677E-14</v>
      </c>
      <c r="J20" s="47">
        <f t="shared" si="6"/>
        <v>1.0902165285978677E-14</v>
      </c>
      <c r="K20" s="47">
        <f t="shared" si="7"/>
        <v>1.0902165285978677E-14</v>
      </c>
      <c r="L20" s="47">
        <f t="shared" si="8"/>
        <v>9.9110593508897064E-15</v>
      </c>
      <c r="M20" s="47">
        <f t="shared" si="9"/>
        <v>6.6073729005931376E-15</v>
      </c>
      <c r="N20" s="48">
        <f t="shared" si="10"/>
        <v>6.0567584922103769E-15</v>
      </c>
    </row>
    <row r="21" spans="1:14" x14ac:dyDescent="0.2">
      <c r="A21" s="37">
        <f t="shared" si="11"/>
        <v>3</v>
      </c>
      <c r="B21" s="34">
        <f t="shared" si="1"/>
        <v>4.907769679330254E-11</v>
      </c>
      <c r="C21" s="34">
        <f t="shared" si="2"/>
        <v>2.0473080271634686E-206</v>
      </c>
      <c r="D21" s="34">
        <f t="shared" si="0"/>
        <v>4.907769679330254E-11</v>
      </c>
      <c r="E21" s="42">
        <f t="shared" si="3"/>
        <v>6.1347120991628159E-12</v>
      </c>
      <c r="G21" s="54">
        <v>0.125</v>
      </c>
      <c r="H21" s="47">
        <f t="shared" si="4"/>
        <v>5.8279764942046749E-12</v>
      </c>
      <c r="I21" s="47">
        <f t="shared" si="5"/>
        <v>6.0733649781711878E-12</v>
      </c>
      <c r="J21" s="47">
        <f t="shared" si="6"/>
        <v>6.0733649781711878E-12</v>
      </c>
      <c r="K21" s="47">
        <f t="shared" si="7"/>
        <v>6.0733649781711878E-12</v>
      </c>
      <c r="L21" s="47">
        <f t="shared" si="8"/>
        <v>5.5212408892465346E-12</v>
      </c>
      <c r="M21" s="47">
        <f t="shared" si="9"/>
        <v>3.6808272594976892E-12</v>
      </c>
      <c r="N21" s="48">
        <f t="shared" si="10"/>
        <v>3.374091654539549E-12</v>
      </c>
    </row>
    <row r="22" spans="1:14" x14ac:dyDescent="0.2">
      <c r="A22" s="37">
        <f t="shared" si="11"/>
        <v>3.25</v>
      </c>
      <c r="B22" s="34">
        <f t="shared" si="1"/>
        <v>8.4435485683171622E-9</v>
      </c>
      <c r="C22" s="34">
        <f t="shared" si="2"/>
        <v>1.37903770636475E-185</v>
      </c>
      <c r="D22" s="34">
        <f t="shared" si="0"/>
        <v>8.4435485683171622E-9</v>
      </c>
      <c r="E22" s="42">
        <f t="shared" si="3"/>
        <v>1.0554435710396451E-9</v>
      </c>
      <c r="G22" s="54">
        <v>0.13541666666666699</v>
      </c>
      <c r="H22" s="47">
        <f t="shared" si="4"/>
        <v>1.0026713924876628E-9</v>
      </c>
      <c r="I22" s="47">
        <f t="shared" si="5"/>
        <v>1.0448891353292486E-9</v>
      </c>
      <c r="J22" s="47">
        <f t="shared" si="6"/>
        <v>1.0448891353292486E-9</v>
      </c>
      <c r="K22" s="47">
        <f t="shared" si="7"/>
        <v>1.0448891353292486E-9</v>
      </c>
      <c r="L22" s="47">
        <f t="shared" si="8"/>
        <v>9.4989921393568068E-10</v>
      </c>
      <c r="M22" s="47">
        <f t="shared" si="9"/>
        <v>6.3326614262378702E-10</v>
      </c>
      <c r="N22" s="48">
        <f t="shared" si="10"/>
        <v>5.8049396407180483E-10</v>
      </c>
    </row>
    <row r="23" spans="1:14" x14ac:dyDescent="0.2">
      <c r="A23" s="37">
        <f t="shared" si="11"/>
        <v>3.5</v>
      </c>
      <c r="B23" s="34">
        <f t="shared" si="1"/>
        <v>5.6019673701835771E-7</v>
      </c>
      <c r="C23" s="34">
        <f t="shared" si="2"/>
        <v>2.7002116728757519E-167</v>
      </c>
      <c r="D23" s="34">
        <f t="shared" si="0"/>
        <v>5.6019673701835771E-7</v>
      </c>
      <c r="E23" s="42">
        <f t="shared" si="3"/>
        <v>7.0024592127294701E-8</v>
      </c>
      <c r="G23" s="54">
        <v>0.14583333333333301</v>
      </c>
      <c r="H23" s="47">
        <f t="shared" si="4"/>
        <v>6.6523362520929957E-8</v>
      </c>
      <c r="I23" s="47">
        <f t="shared" si="5"/>
        <v>6.932434620602175E-8</v>
      </c>
      <c r="J23" s="47">
        <f t="shared" si="6"/>
        <v>6.932434620602175E-8</v>
      </c>
      <c r="K23" s="47">
        <f t="shared" si="7"/>
        <v>6.932434620602175E-8</v>
      </c>
      <c r="L23" s="47">
        <f t="shared" si="8"/>
        <v>6.3022132914565239E-8</v>
      </c>
      <c r="M23" s="47">
        <f t="shared" si="9"/>
        <v>4.2014755276376819E-8</v>
      </c>
      <c r="N23" s="48">
        <f t="shared" si="10"/>
        <v>3.8513525670012088E-8</v>
      </c>
    </row>
    <row r="24" spans="1:14" x14ac:dyDescent="0.2">
      <c r="A24" s="37">
        <f t="shared" si="11"/>
        <v>3.75</v>
      </c>
      <c r="B24" s="34">
        <f t="shared" si="1"/>
        <v>1.6983303299397485E-5</v>
      </c>
      <c r="C24" s="34">
        <f t="shared" si="2"/>
        <v>4.0098106655732529E-151</v>
      </c>
      <c r="D24" s="34">
        <f t="shared" si="0"/>
        <v>1.6983303299397485E-5</v>
      </c>
      <c r="E24" s="42">
        <f t="shared" si="3"/>
        <v>2.1229129124246852E-6</v>
      </c>
      <c r="G24" s="54">
        <v>0.15625</v>
      </c>
      <c r="H24" s="47">
        <f t="shared" si="4"/>
        <v>2.0167672668034509E-6</v>
      </c>
      <c r="I24" s="47">
        <f t="shared" si="5"/>
        <v>2.1016837833004382E-6</v>
      </c>
      <c r="J24" s="47">
        <f t="shared" si="6"/>
        <v>2.1016837833004382E-6</v>
      </c>
      <c r="K24" s="47">
        <f t="shared" si="7"/>
        <v>2.1016837833004382E-6</v>
      </c>
      <c r="L24" s="47">
        <f t="shared" si="8"/>
        <v>1.9106216211822166E-6</v>
      </c>
      <c r="M24" s="47">
        <f t="shared" si="9"/>
        <v>1.273747747454811E-6</v>
      </c>
      <c r="N24" s="48">
        <f t="shared" si="10"/>
        <v>1.1676021018335769E-6</v>
      </c>
    </row>
    <row r="25" spans="1:14" x14ac:dyDescent="0.2">
      <c r="A25" s="37">
        <f t="shared" si="11"/>
        <v>4</v>
      </c>
      <c r="B25" s="34">
        <f t="shared" si="1"/>
        <v>2.6847694973460278E-4</v>
      </c>
      <c r="C25" s="34">
        <f t="shared" si="2"/>
        <v>9.5988766187717071E-137</v>
      </c>
      <c r="D25" s="34">
        <f t="shared" si="0"/>
        <v>2.6847694973460278E-4</v>
      </c>
      <c r="E25" s="42">
        <f t="shared" si="3"/>
        <v>3.3559618716825341E-5</v>
      </c>
      <c r="G25" s="54">
        <v>0.16666666666666699</v>
      </c>
      <c r="H25" s="47">
        <f t="shared" si="4"/>
        <v>3.1881637780984074E-5</v>
      </c>
      <c r="I25" s="47">
        <f t="shared" si="5"/>
        <v>3.3224022529657087E-5</v>
      </c>
      <c r="J25" s="47">
        <f t="shared" si="6"/>
        <v>3.3224022529657087E-5</v>
      </c>
      <c r="K25" s="47">
        <f t="shared" si="7"/>
        <v>3.3224022529657087E-5</v>
      </c>
      <c r="L25" s="47">
        <f t="shared" si="8"/>
        <v>3.0203656845142807E-5</v>
      </c>
      <c r="M25" s="47">
        <f t="shared" si="9"/>
        <v>2.0135771230095204E-5</v>
      </c>
      <c r="N25" s="48">
        <f t="shared" si="10"/>
        <v>1.8457790294253937E-5</v>
      </c>
    </row>
    <row r="26" spans="1:14" x14ac:dyDescent="0.2">
      <c r="A26" s="37">
        <f t="shared" si="11"/>
        <v>4.25</v>
      </c>
      <c r="B26" s="34">
        <f t="shared" si="1"/>
        <v>2.4564932051161724E-3</v>
      </c>
      <c r="C26" s="34">
        <f t="shared" si="2"/>
        <v>6.7642998761578741E-124</v>
      </c>
      <c r="D26" s="34">
        <f t="shared" si="0"/>
        <v>2.4564932051161724E-3</v>
      </c>
      <c r="E26" s="42">
        <f t="shared" si="3"/>
        <v>3.070616506395215E-4</v>
      </c>
      <c r="G26" s="54">
        <v>0.17708333333333301</v>
      </c>
      <c r="H26" s="47">
        <f t="shared" si="4"/>
        <v>2.9170856810754539E-4</v>
      </c>
      <c r="I26" s="47">
        <f t="shared" si="5"/>
        <v>3.0399103413312627E-4</v>
      </c>
      <c r="J26" s="47">
        <f t="shared" si="6"/>
        <v>3.0399103413312627E-4</v>
      </c>
      <c r="K26" s="47">
        <f t="shared" si="7"/>
        <v>3.0399103413312627E-4</v>
      </c>
      <c r="L26" s="47">
        <f t="shared" si="8"/>
        <v>2.7635548557556938E-4</v>
      </c>
      <c r="M26" s="47">
        <f t="shared" si="9"/>
        <v>1.842369903837129E-4</v>
      </c>
      <c r="N26" s="48">
        <f t="shared" si="10"/>
        <v>1.6888390785173684E-4</v>
      </c>
    </row>
    <row r="27" spans="1:14" x14ac:dyDescent="0.2">
      <c r="A27" s="37">
        <f t="shared" si="11"/>
        <v>4.5</v>
      </c>
      <c r="B27" s="34">
        <f t="shared" si="1"/>
        <v>1.4143790608008381E-2</v>
      </c>
      <c r="C27" s="34">
        <f t="shared" si="2"/>
        <v>2.284979766695579E-112</v>
      </c>
      <c r="D27" s="34">
        <f t="shared" si="0"/>
        <v>1.4143790608008381E-2</v>
      </c>
      <c r="E27" s="42">
        <f t="shared" si="3"/>
        <v>1.7679738260010472E-3</v>
      </c>
      <c r="G27" s="54">
        <v>0.1875</v>
      </c>
      <c r="H27" s="47">
        <f t="shared" si="4"/>
        <v>1.6795751347009947E-3</v>
      </c>
      <c r="I27" s="47">
        <f t="shared" si="5"/>
        <v>1.7502940877410368E-3</v>
      </c>
      <c r="J27" s="47">
        <f t="shared" si="6"/>
        <v>1.7502940877410368E-3</v>
      </c>
      <c r="K27" s="47">
        <f t="shared" si="7"/>
        <v>1.7502940877410368E-3</v>
      </c>
      <c r="L27" s="47">
        <f t="shared" si="8"/>
        <v>1.5911764434009426E-3</v>
      </c>
      <c r="M27" s="47">
        <f t="shared" si="9"/>
        <v>1.0607842956006283E-3</v>
      </c>
      <c r="N27" s="48">
        <f t="shared" si="10"/>
        <v>9.7238560430057603E-4</v>
      </c>
    </row>
    <row r="28" spans="1:14" x14ac:dyDescent="0.2">
      <c r="A28" s="37">
        <f t="shared" si="11"/>
        <v>4.75</v>
      </c>
      <c r="B28" s="34">
        <f t="shared" si="1"/>
        <v>5.4842326987509349E-2</v>
      </c>
      <c r="C28" s="34">
        <f t="shared" si="2"/>
        <v>5.5172006417199761E-102</v>
      </c>
      <c r="D28" s="34">
        <f t="shared" si="0"/>
        <v>5.4842326987509349E-2</v>
      </c>
      <c r="E28" s="42">
        <f t="shared" si="3"/>
        <v>6.8552908734386669E-3</v>
      </c>
      <c r="G28" s="54">
        <v>0.19791666666666699</v>
      </c>
      <c r="H28" s="47">
        <f t="shared" si="4"/>
        <v>6.5125263297667333E-3</v>
      </c>
      <c r="I28" s="47">
        <f t="shared" si="5"/>
        <v>6.7867379647042802E-3</v>
      </c>
      <c r="J28" s="47">
        <f t="shared" si="6"/>
        <v>6.7867379647042802E-3</v>
      </c>
      <c r="K28" s="47">
        <f t="shared" si="7"/>
        <v>6.7867379647042802E-3</v>
      </c>
      <c r="L28" s="47">
        <f t="shared" si="8"/>
        <v>6.1697617860948005E-3</v>
      </c>
      <c r="M28" s="47">
        <f t="shared" si="9"/>
        <v>4.1131745240631998E-3</v>
      </c>
      <c r="N28" s="48">
        <f t="shared" si="10"/>
        <v>3.770409980391267E-3</v>
      </c>
    </row>
    <row r="29" spans="1:14" x14ac:dyDescent="0.2">
      <c r="A29" s="37">
        <f t="shared" si="11"/>
        <v>5</v>
      </c>
      <c r="B29" s="34">
        <f t="shared" si="1"/>
        <v>0.1513971358033615</v>
      </c>
      <c r="C29" s="34">
        <f t="shared" si="2"/>
        <v>1.325719771970323E-92</v>
      </c>
      <c r="D29" s="34">
        <f t="shared" si="0"/>
        <v>0.1513971358033615</v>
      </c>
      <c r="E29" s="42">
        <f t="shared" si="3"/>
        <v>1.8924641975420185E-2</v>
      </c>
      <c r="G29" s="54">
        <v>0.20833333333333301</v>
      </c>
      <c r="H29" s="47">
        <f t="shared" si="4"/>
        <v>1.7978409876649174E-2</v>
      </c>
      <c r="I29" s="47">
        <f t="shared" si="5"/>
        <v>1.8735395555665984E-2</v>
      </c>
      <c r="J29" s="47">
        <f t="shared" si="6"/>
        <v>1.8735395555665984E-2</v>
      </c>
      <c r="K29" s="47">
        <f t="shared" si="7"/>
        <v>1.8735395555665984E-2</v>
      </c>
      <c r="L29" s="47">
        <f t="shared" si="8"/>
        <v>1.7032177777878167E-2</v>
      </c>
      <c r="M29" s="47">
        <f t="shared" si="9"/>
        <v>1.135478518525211E-2</v>
      </c>
      <c r="N29" s="48">
        <f t="shared" si="10"/>
        <v>1.0408553086481103E-2</v>
      </c>
    </row>
    <row r="30" spans="1:14" x14ac:dyDescent="0.2">
      <c r="A30" s="37">
        <f t="shared" si="11"/>
        <v>5.25</v>
      </c>
      <c r="B30" s="34">
        <f t="shared" si="1"/>
        <v>0.31157563612566608</v>
      </c>
      <c r="C30" s="34">
        <f t="shared" si="2"/>
        <v>4.1808256984253158E-84</v>
      </c>
      <c r="D30" s="34">
        <f t="shared" si="0"/>
        <v>0.31157563612566608</v>
      </c>
      <c r="E30" s="42">
        <f t="shared" si="3"/>
        <v>3.8946954515708253E-2</v>
      </c>
      <c r="G30" s="54">
        <v>0.21875</v>
      </c>
      <c r="H30" s="47">
        <f>E30*$H$7</f>
        <v>3.699960678992284E-2</v>
      </c>
      <c r="I30" s="47">
        <f t="shared" si="5"/>
        <v>3.855748497055117E-2</v>
      </c>
      <c r="J30" s="47">
        <f t="shared" si="6"/>
        <v>3.855748497055117E-2</v>
      </c>
      <c r="K30" s="47">
        <f t="shared" si="7"/>
        <v>3.855748497055117E-2</v>
      </c>
      <c r="L30" s="47">
        <f t="shared" si="8"/>
        <v>3.5052259064137427E-2</v>
      </c>
      <c r="M30" s="47">
        <f t="shared" si="9"/>
        <v>2.3368172709424952E-2</v>
      </c>
      <c r="N30" s="48">
        <f t="shared" si="10"/>
        <v>2.1420824983639539E-2</v>
      </c>
    </row>
    <row r="31" spans="1:14" x14ac:dyDescent="0.2">
      <c r="A31" s="37">
        <f t="shared" si="11"/>
        <v>5.5</v>
      </c>
      <c r="B31" s="34">
        <f t="shared" si="1"/>
        <v>0.49675888138302332</v>
      </c>
      <c r="C31" s="34">
        <f t="shared" si="2"/>
        <v>2.1853205140067544E-76</v>
      </c>
      <c r="D31" s="34">
        <f t="shared" si="0"/>
        <v>0.49675888138302332</v>
      </c>
      <c r="E31" s="42">
        <f t="shared" si="3"/>
        <v>6.2094860172877901E-2</v>
      </c>
      <c r="G31" s="54">
        <v>0.22916666666666699</v>
      </c>
      <c r="H31" s="47">
        <f t="shared" si="4"/>
        <v>5.8990117164234003E-2</v>
      </c>
      <c r="I31" s="47">
        <f t="shared" si="5"/>
        <v>6.147391157114912E-2</v>
      </c>
      <c r="J31" s="47">
        <f t="shared" si="6"/>
        <v>6.147391157114912E-2</v>
      </c>
      <c r="K31" s="47">
        <f t="shared" si="7"/>
        <v>6.147391157114912E-2</v>
      </c>
      <c r="L31" s="47">
        <f t="shared" si="8"/>
        <v>5.5885374155590112E-2</v>
      </c>
      <c r="M31" s="47">
        <f t="shared" si="9"/>
        <v>3.7256916103726737E-2</v>
      </c>
      <c r="N31" s="48">
        <f t="shared" si="10"/>
        <v>3.4152173095082845E-2</v>
      </c>
    </row>
    <row r="32" spans="1:14" x14ac:dyDescent="0.2">
      <c r="A32" s="37">
        <f t="shared" si="11"/>
        <v>5.75</v>
      </c>
      <c r="B32" s="34">
        <f t="shared" si="1"/>
        <v>0.63373820607486175</v>
      </c>
      <c r="C32" s="34">
        <f t="shared" si="2"/>
        <v>2.3087360459016225E-69</v>
      </c>
      <c r="D32" s="34">
        <f t="shared" si="0"/>
        <v>0.63373820607486175</v>
      </c>
      <c r="E32" s="42">
        <f t="shared" si="3"/>
        <v>7.9217275759357705E-2</v>
      </c>
      <c r="G32" s="54">
        <v>0.23958333333333301</v>
      </c>
      <c r="H32" s="47">
        <f t="shared" si="4"/>
        <v>7.5256411971389811E-2</v>
      </c>
      <c r="I32" s="47">
        <f t="shared" si="5"/>
        <v>7.8425103001764127E-2</v>
      </c>
      <c r="J32" s="47">
        <f t="shared" si="6"/>
        <v>7.8425103001764127E-2</v>
      </c>
      <c r="K32" s="47">
        <f t="shared" si="7"/>
        <v>7.8425103001764127E-2</v>
      </c>
      <c r="L32" s="47">
        <f t="shared" si="8"/>
        <v>7.1295548183421931E-2</v>
      </c>
      <c r="M32" s="47">
        <f t="shared" si="9"/>
        <v>4.753036545561462E-2</v>
      </c>
      <c r="N32" s="48">
        <f t="shared" si="10"/>
        <v>4.356950166764674E-2</v>
      </c>
    </row>
    <row r="33" spans="1:14" x14ac:dyDescent="0.2">
      <c r="A33" s="37">
        <f t="shared" si="11"/>
        <v>6</v>
      </c>
      <c r="B33" s="34">
        <f t="shared" si="1"/>
        <v>0.66490380066905441</v>
      </c>
      <c r="C33" s="34">
        <f t="shared" si="2"/>
        <v>5.8425204427603126E-63</v>
      </c>
      <c r="D33" s="34">
        <f t="shared" si="0"/>
        <v>0.66490380066905441</v>
      </c>
      <c r="E33" s="42">
        <f t="shared" si="3"/>
        <v>8.3112975083631788E-2</v>
      </c>
      <c r="G33" s="54">
        <v>0.25</v>
      </c>
      <c r="H33" s="47">
        <f t="shared" si="4"/>
        <v>7.8957326329450198E-2</v>
      </c>
      <c r="I33" s="47">
        <f t="shared" si="5"/>
        <v>8.2281845332795464E-2</v>
      </c>
      <c r="J33" s="47">
        <f t="shared" si="6"/>
        <v>8.2281845332795464E-2</v>
      </c>
      <c r="K33" s="47">
        <f t="shared" si="7"/>
        <v>8.2281845332795464E-2</v>
      </c>
      <c r="L33" s="47">
        <f t="shared" si="8"/>
        <v>7.4801677575268608E-2</v>
      </c>
      <c r="M33" s="47">
        <f t="shared" si="9"/>
        <v>4.9867785050179074E-2</v>
      </c>
      <c r="N33" s="48">
        <f t="shared" si="10"/>
        <v>4.5712136295997484E-2</v>
      </c>
    </row>
    <row r="34" spans="1:14" x14ac:dyDescent="0.2">
      <c r="A34" s="37">
        <f t="shared" si="11"/>
        <v>6.25</v>
      </c>
      <c r="B34" s="34">
        <f t="shared" si="1"/>
        <v>0.58727818260030162</v>
      </c>
      <c r="C34" s="34">
        <f t="shared" si="2"/>
        <v>4.0996357655486331E-57</v>
      </c>
      <c r="D34" s="34">
        <f t="shared" si="0"/>
        <v>0.58727818260030162</v>
      </c>
      <c r="E34" s="42">
        <f t="shared" si="3"/>
        <v>7.3409772825037689E-2</v>
      </c>
      <c r="G34" s="54">
        <v>0.26041666666666702</v>
      </c>
      <c r="H34" s="47">
        <f t="shared" si="4"/>
        <v>6.9739284183785805E-2</v>
      </c>
      <c r="I34" s="47">
        <f t="shared" si="5"/>
        <v>7.2675675096787309E-2</v>
      </c>
      <c r="J34" s="47">
        <f t="shared" si="6"/>
        <v>7.2675675096787309E-2</v>
      </c>
      <c r="K34" s="47">
        <f t="shared" si="7"/>
        <v>7.2675675096787309E-2</v>
      </c>
      <c r="L34" s="47">
        <f t="shared" si="8"/>
        <v>6.606879554253392E-2</v>
      </c>
      <c r="M34" s="47">
        <f t="shared" si="9"/>
        <v>4.4045863695022613E-2</v>
      </c>
      <c r="N34" s="48">
        <f t="shared" si="10"/>
        <v>4.0375375053770729E-2</v>
      </c>
    </row>
    <row r="35" spans="1:14" x14ac:dyDescent="0.2">
      <c r="A35" s="37">
        <f t="shared" si="11"/>
        <v>6.5</v>
      </c>
      <c r="B35" s="34">
        <f t="shared" si="1"/>
        <v>0.4455270259071113</v>
      </c>
      <c r="C35" s="34">
        <f t="shared" si="2"/>
        <v>9.0550492110548369E-52</v>
      </c>
      <c r="D35" s="34">
        <f t="shared" si="0"/>
        <v>0.4455270259071113</v>
      </c>
      <c r="E35" s="42">
        <f t="shared" si="3"/>
        <v>5.5690878238388898E-2</v>
      </c>
      <c r="G35" s="54">
        <v>0.27083333333333298</v>
      </c>
      <c r="H35" s="47">
        <f t="shared" si="4"/>
        <v>5.2906334326469448E-2</v>
      </c>
      <c r="I35" s="47">
        <f t="shared" si="5"/>
        <v>5.5133969456005009E-2</v>
      </c>
      <c r="J35" s="47">
        <f t="shared" si="6"/>
        <v>5.5133969456005009E-2</v>
      </c>
      <c r="K35" s="47">
        <f t="shared" si="7"/>
        <v>5.5133969456005009E-2</v>
      </c>
      <c r="L35" s="47">
        <f t="shared" si="8"/>
        <v>5.0121790414550012E-2</v>
      </c>
      <c r="M35" s="47">
        <f t="shared" si="9"/>
        <v>3.3414526943033339E-2</v>
      </c>
      <c r="N35" s="48">
        <f t="shared" si="10"/>
        <v>3.0629983031113896E-2</v>
      </c>
    </row>
    <row r="36" spans="1:14" x14ac:dyDescent="0.2">
      <c r="A36" s="37">
        <f t="shared" si="11"/>
        <v>6.75</v>
      </c>
      <c r="B36" s="34">
        <f t="shared" si="1"/>
        <v>0.29536655947229756</v>
      </c>
      <c r="C36" s="34">
        <f t="shared" si="2"/>
        <v>7.0313217639235858E-47</v>
      </c>
      <c r="D36" s="34">
        <f t="shared" si="0"/>
        <v>0.29536655947229756</v>
      </c>
      <c r="E36" s="42">
        <f t="shared" si="3"/>
        <v>3.6920819934037188E-2</v>
      </c>
      <c r="G36" s="54">
        <v>0.28125</v>
      </c>
      <c r="H36" s="47">
        <f t="shared" si="4"/>
        <v>3.5074778937335328E-2</v>
      </c>
      <c r="I36" s="47">
        <f t="shared" si="5"/>
        <v>3.6551611734696815E-2</v>
      </c>
      <c r="J36" s="47">
        <f t="shared" si="6"/>
        <v>3.6551611734696815E-2</v>
      </c>
      <c r="K36" s="47">
        <f t="shared" si="7"/>
        <v>3.6551611734696815E-2</v>
      </c>
      <c r="L36" s="47">
        <f t="shared" si="8"/>
        <v>3.3228737940633468E-2</v>
      </c>
      <c r="M36" s="47">
        <f t="shared" si="9"/>
        <v>2.2152491960422311E-2</v>
      </c>
      <c r="N36" s="48">
        <f t="shared" si="10"/>
        <v>2.0306450963720454E-2</v>
      </c>
    </row>
    <row r="37" spans="1:14" x14ac:dyDescent="0.2">
      <c r="A37" s="37">
        <f t="shared" si="11"/>
        <v>7</v>
      </c>
      <c r="B37" s="34">
        <f t="shared" si="1"/>
        <v>0.17370701969040464</v>
      </c>
      <c r="C37" s="34">
        <f t="shared" si="2"/>
        <v>2.1145768327542274E-42</v>
      </c>
      <c r="D37" s="34">
        <f t="shared" si="0"/>
        <v>0.17370701969040464</v>
      </c>
      <c r="E37" s="42">
        <f t="shared" si="3"/>
        <v>2.1713377461300577E-2</v>
      </c>
      <c r="G37" s="54">
        <v>0.29166666666666702</v>
      </c>
      <c r="H37" s="47">
        <f t="shared" si="4"/>
        <v>2.0627708588235545E-2</v>
      </c>
      <c r="I37" s="47">
        <f t="shared" si="5"/>
        <v>2.149624368668757E-2</v>
      </c>
      <c r="J37" s="47">
        <f t="shared" si="6"/>
        <v>2.149624368668757E-2</v>
      </c>
      <c r="K37" s="47">
        <f t="shared" si="7"/>
        <v>2.149624368668757E-2</v>
      </c>
      <c r="L37" s="47">
        <f t="shared" si="8"/>
        <v>1.9542039715170521E-2</v>
      </c>
      <c r="M37" s="47">
        <f t="shared" si="9"/>
        <v>1.3028026476780346E-2</v>
      </c>
      <c r="N37" s="48">
        <f t="shared" si="10"/>
        <v>1.1942357603715318E-2</v>
      </c>
    </row>
    <row r="38" spans="1:14" x14ac:dyDescent="0.2">
      <c r="A38" s="37">
        <f t="shared" si="11"/>
        <v>7.25</v>
      </c>
      <c r="B38" s="34">
        <f t="shared" si="1"/>
        <v>9.1814813209398508E-2</v>
      </c>
      <c r="C38" s="34">
        <f t="shared" si="2"/>
        <v>2.6818923125162714E-38</v>
      </c>
      <c r="D38" s="34">
        <f t="shared" si="0"/>
        <v>9.1814813209398508E-2</v>
      </c>
      <c r="E38" s="42">
        <f t="shared" si="3"/>
        <v>1.1476851651174812E-2</v>
      </c>
      <c r="G38" s="54">
        <v>0.30208333333333298</v>
      </c>
      <c r="H38" s="47">
        <f t="shared" si="4"/>
        <v>1.0903009068616071E-2</v>
      </c>
      <c r="I38" s="47">
        <f t="shared" si="5"/>
        <v>1.1362083134663064E-2</v>
      </c>
      <c r="J38" s="47">
        <f t="shared" si="6"/>
        <v>1.1362083134663064E-2</v>
      </c>
      <c r="K38" s="47">
        <f t="shared" si="7"/>
        <v>1.1362083134663064E-2</v>
      </c>
      <c r="L38" s="47">
        <f t="shared" si="8"/>
        <v>1.0329166486057331E-2</v>
      </c>
      <c r="M38" s="47">
        <f t="shared" si="9"/>
        <v>6.886110990704887E-3</v>
      </c>
      <c r="N38" s="48">
        <f t="shared" si="10"/>
        <v>6.3122684081461473E-3</v>
      </c>
    </row>
    <row r="39" spans="1:14" x14ac:dyDescent="0.2">
      <c r="A39" s="37">
        <f t="shared" si="11"/>
        <v>7.5</v>
      </c>
      <c r="B39" s="34">
        <f t="shared" si="1"/>
        <v>4.411706167002663E-2</v>
      </c>
      <c r="C39" s="34">
        <f t="shared" si="2"/>
        <v>1.546607116749806E-34</v>
      </c>
      <c r="D39" s="34">
        <f t="shared" si="0"/>
        <v>4.411706167002663E-2</v>
      </c>
      <c r="E39" s="42">
        <f t="shared" si="3"/>
        <v>5.5146327087533279E-3</v>
      </c>
      <c r="G39" s="54">
        <v>0.3125</v>
      </c>
      <c r="H39" s="47">
        <f t="shared" si="4"/>
        <v>5.2389010733156615E-3</v>
      </c>
      <c r="I39" s="47">
        <f t="shared" si="5"/>
        <v>5.4594863816657948E-3</v>
      </c>
      <c r="J39" s="47">
        <f t="shared" si="6"/>
        <v>5.4594863816657948E-3</v>
      </c>
      <c r="K39" s="47">
        <f t="shared" si="7"/>
        <v>5.4594863816657948E-3</v>
      </c>
      <c r="L39" s="47">
        <f t="shared" si="8"/>
        <v>4.9631694378779951E-3</v>
      </c>
      <c r="M39" s="47">
        <f t="shared" si="9"/>
        <v>3.3087796252519969E-3</v>
      </c>
      <c r="N39" s="48">
        <f t="shared" si="10"/>
        <v>3.0330479898143304E-3</v>
      </c>
    </row>
    <row r="40" spans="1:14" x14ac:dyDescent="0.2">
      <c r="A40" s="37">
        <f t="shared" si="11"/>
        <v>7.75</v>
      </c>
      <c r="B40" s="34">
        <f t="shared" si="1"/>
        <v>1.9464930208002128E-2</v>
      </c>
      <c r="C40" s="34">
        <f t="shared" si="2"/>
        <v>4.335546461281217E-31</v>
      </c>
      <c r="D40" s="34">
        <f t="shared" si="0"/>
        <v>1.9464930208002128E-2</v>
      </c>
      <c r="E40" s="42">
        <f t="shared" si="3"/>
        <v>2.4331162760002655E-3</v>
      </c>
      <c r="G40" s="54">
        <v>0.32291666666666702</v>
      </c>
      <c r="H40" s="47">
        <f t="shared" si="4"/>
        <v>2.311460462200252E-3</v>
      </c>
      <c r="I40" s="47">
        <f t="shared" si="5"/>
        <v>2.4087851132402627E-3</v>
      </c>
      <c r="J40" s="47">
        <f t="shared" si="6"/>
        <v>2.4087851132402627E-3</v>
      </c>
      <c r="K40" s="47">
        <f t="shared" si="7"/>
        <v>2.4087851132402627E-3</v>
      </c>
      <c r="L40" s="47">
        <f t="shared" si="8"/>
        <v>2.1898046484002389E-3</v>
      </c>
      <c r="M40" s="47">
        <f t="shared" si="9"/>
        <v>1.4598697656001594E-3</v>
      </c>
      <c r="N40" s="48">
        <f t="shared" si="10"/>
        <v>1.3382139518001461E-3</v>
      </c>
    </row>
    <row r="41" spans="1:14" x14ac:dyDescent="0.2">
      <c r="A41" s="37">
        <f t="shared" si="11"/>
        <v>8</v>
      </c>
      <c r="B41" s="34">
        <f t="shared" si="1"/>
        <v>7.9558822170047172E-3</v>
      </c>
      <c r="C41" s="34">
        <f t="shared" si="2"/>
        <v>6.2699525145928327E-28</v>
      </c>
      <c r="D41" s="34">
        <f t="shared" si="0"/>
        <v>7.9558822170047172E-3</v>
      </c>
      <c r="E41" s="42">
        <f t="shared" si="3"/>
        <v>9.9448527712558943E-4</v>
      </c>
      <c r="G41" s="54">
        <v>0.33333333333333298</v>
      </c>
      <c r="H41" s="47">
        <f t="shared" si="4"/>
        <v>9.4476101326930993E-4</v>
      </c>
      <c r="I41" s="47">
        <f t="shared" si="5"/>
        <v>9.8454042435433347E-4</v>
      </c>
      <c r="J41" s="47">
        <f t="shared" si="6"/>
        <v>9.8454042435433347E-4</v>
      </c>
      <c r="K41" s="47">
        <f t="shared" si="7"/>
        <v>9.8454042435433347E-4</v>
      </c>
      <c r="L41" s="47">
        <f t="shared" si="8"/>
        <v>8.9503674941303053E-4</v>
      </c>
      <c r="M41" s="47">
        <f t="shared" si="9"/>
        <v>5.9669116627535362E-4</v>
      </c>
      <c r="N41" s="48">
        <f t="shared" si="10"/>
        <v>5.4696690241907422E-4</v>
      </c>
    </row>
    <row r="42" spans="1:14" x14ac:dyDescent="0.2">
      <c r="A42" s="37">
        <f t="shared" si="11"/>
        <v>8.25</v>
      </c>
      <c r="B42" s="34">
        <f t="shared" si="1"/>
        <v>3.036026825381869E-3</v>
      </c>
      <c r="C42" s="34">
        <f t="shared" si="2"/>
        <v>4.9331871132988606E-25</v>
      </c>
      <c r="D42" s="34">
        <f t="shared" si="0"/>
        <v>3.036026825381869E-3</v>
      </c>
      <c r="E42" s="42">
        <f t="shared" si="3"/>
        <v>3.7950335317273352E-4</v>
      </c>
      <c r="G42" s="54">
        <v>0.34375</v>
      </c>
      <c r="H42" s="47">
        <f t="shared" si="4"/>
        <v>3.605281855140968E-4</v>
      </c>
      <c r="I42" s="47">
        <f t="shared" si="5"/>
        <v>3.757083196410062E-4</v>
      </c>
      <c r="J42" s="47">
        <f t="shared" si="6"/>
        <v>3.757083196410062E-4</v>
      </c>
      <c r="K42" s="47">
        <f t="shared" si="7"/>
        <v>3.757083196410062E-4</v>
      </c>
      <c r="L42" s="47">
        <f t="shared" si="8"/>
        <v>3.4155301785546019E-4</v>
      </c>
      <c r="M42" s="47">
        <f t="shared" si="9"/>
        <v>2.2770201190364011E-4</v>
      </c>
      <c r="N42" s="48">
        <f t="shared" si="10"/>
        <v>2.0872684424500345E-4</v>
      </c>
    </row>
    <row r="43" spans="1:14" x14ac:dyDescent="0.2">
      <c r="A43" s="37">
        <f t="shared" si="11"/>
        <v>8.5</v>
      </c>
      <c r="B43" s="34">
        <f t="shared" si="1"/>
        <v>1.0892158260332092E-3</v>
      </c>
      <c r="C43" s="34">
        <f t="shared" si="2"/>
        <v>2.2148016473643416E-22</v>
      </c>
      <c r="D43" s="34">
        <f t="shared" si="0"/>
        <v>1.0892158260332092E-3</v>
      </c>
      <c r="E43" s="42">
        <f t="shared" si="3"/>
        <v>1.3615197825415112E-4</v>
      </c>
      <c r="G43" s="54">
        <v>0.35416666666666702</v>
      </c>
      <c r="H43" s="47">
        <f t="shared" si="4"/>
        <v>1.2934437934144355E-4</v>
      </c>
      <c r="I43" s="47">
        <f t="shared" si="5"/>
        <v>1.3479045847160961E-4</v>
      </c>
      <c r="J43" s="47">
        <f t="shared" si="6"/>
        <v>1.3479045847160961E-4</v>
      </c>
      <c r="K43" s="47">
        <f t="shared" si="7"/>
        <v>1.3479045847160961E-4</v>
      </c>
      <c r="L43" s="47">
        <f t="shared" si="8"/>
        <v>1.2253678042873601E-4</v>
      </c>
      <c r="M43" s="47">
        <f t="shared" si="9"/>
        <v>8.1691186952490667E-5</v>
      </c>
      <c r="N43" s="48">
        <f t="shared" si="10"/>
        <v>7.4883588039783121E-5</v>
      </c>
    </row>
    <row r="44" spans="1:14" x14ac:dyDescent="0.2">
      <c r="A44" s="37">
        <f t="shared" si="11"/>
        <v>8.75</v>
      </c>
      <c r="B44" s="34">
        <f t="shared" si="1"/>
        <v>3.6964998623032863E-4</v>
      </c>
      <c r="C44" s="34">
        <f t="shared" si="2"/>
        <v>5.9225055788637303E-20</v>
      </c>
      <c r="D44" s="34">
        <f t="shared" si="0"/>
        <v>3.6964998623032868E-4</v>
      </c>
      <c r="E44" s="42">
        <f t="shared" si="3"/>
        <v>4.6206248278791072E-5</v>
      </c>
      <c r="G44" s="54">
        <v>0.36458333333333298</v>
      </c>
      <c r="H44" s="47">
        <f t="shared" si="4"/>
        <v>4.3895935864851515E-5</v>
      </c>
      <c r="I44" s="47">
        <f t="shared" si="5"/>
        <v>4.5744185796003163E-5</v>
      </c>
      <c r="J44" s="47">
        <f t="shared" si="6"/>
        <v>4.5744185796003163E-5</v>
      </c>
      <c r="K44" s="47">
        <f t="shared" si="7"/>
        <v>4.5744185796003163E-5</v>
      </c>
      <c r="L44" s="47">
        <f t="shared" si="8"/>
        <v>4.1585623450911965E-5</v>
      </c>
      <c r="M44" s="47">
        <f t="shared" si="9"/>
        <v>2.7723748967274642E-5</v>
      </c>
      <c r="N44" s="48">
        <f t="shared" si="10"/>
        <v>2.5413436553335093E-5</v>
      </c>
    </row>
    <row r="45" spans="1:14" x14ac:dyDescent="0.2">
      <c r="A45" s="37">
        <f t="shared" si="11"/>
        <v>9</v>
      </c>
      <c r="B45" s="34">
        <f t="shared" si="1"/>
        <v>1.1932308877093343E-4</v>
      </c>
      <c r="C45" s="34">
        <f t="shared" si="2"/>
        <v>9.8047272283365014E-18</v>
      </c>
      <c r="D45" s="34">
        <f t="shared" si="0"/>
        <v>1.1932308877094323E-4</v>
      </c>
      <c r="E45" s="42">
        <f t="shared" si="3"/>
        <v>1.49153860963679E-5</v>
      </c>
      <c r="G45" s="54">
        <v>0.375</v>
      </c>
      <c r="H45" s="47">
        <f t="shared" si="4"/>
        <v>1.4169616791549505E-5</v>
      </c>
      <c r="I45" s="47">
        <f t="shared" si="5"/>
        <v>1.4766232235404221E-5</v>
      </c>
      <c r="J45" s="47">
        <f t="shared" si="6"/>
        <v>1.4766232235404221E-5</v>
      </c>
      <c r="K45" s="47">
        <f t="shared" si="7"/>
        <v>1.4766232235404221E-5</v>
      </c>
      <c r="L45" s="47">
        <f t="shared" si="8"/>
        <v>1.342384748673111E-5</v>
      </c>
      <c r="M45" s="47">
        <f t="shared" si="9"/>
        <v>8.9492316578207391E-6</v>
      </c>
      <c r="N45" s="48">
        <f t="shared" si="10"/>
        <v>8.2034623530023459E-6</v>
      </c>
    </row>
    <row r="46" spans="1:14" x14ac:dyDescent="0.2">
      <c r="A46" s="37">
        <f t="shared" si="11"/>
        <v>9.25</v>
      </c>
      <c r="B46" s="34">
        <f t="shared" si="1"/>
        <v>3.6817301314939345E-5</v>
      </c>
      <c r="C46" s="34">
        <f t="shared" si="2"/>
        <v>1.0406809923401606E-15</v>
      </c>
      <c r="D46" s="34">
        <f t="shared" si="0"/>
        <v>3.6817301315980024E-5</v>
      </c>
      <c r="E46" s="42">
        <f t="shared" si="3"/>
        <v>4.6021626644975021E-6</v>
      </c>
      <c r="G46" s="54">
        <v>0.38541666666666702</v>
      </c>
      <c r="H46" s="47">
        <f t="shared" si="4"/>
        <v>4.3720545312726264E-6</v>
      </c>
      <c r="I46" s="47">
        <f t="shared" si="5"/>
        <v>4.5561410378525268E-6</v>
      </c>
      <c r="J46" s="47">
        <f t="shared" si="6"/>
        <v>4.5561410378525268E-6</v>
      </c>
      <c r="K46" s="47">
        <f t="shared" si="7"/>
        <v>4.5561410378525268E-6</v>
      </c>
      <c r="L46" s="47">
        <f t="shared" si="8"/>
        <v>4.1419463980477524E-6</v>
      </c>
      <c r="M46" s="47">
        <f t="shared" si="9"/>
        <v>2.7612975986985012E-6</v>
      </c>
      <c r="N46" s="48">
        <f t="shared" si="10"/>
        <v>2.5311894654736263E-6</v>
      </c>
    </row>
    <row r="47" spans="1:14" x14ac:dyDescent="0.2">
      <c r="A47" s="37">
        <f t="shared" si="11"/>
        <v>9.5</v>
      </c>
      <c r="B47" s="34">
        <f t="shared" si="1"/>
        <v>1.0906590417138987E-5</v>
      </c>
      <c r="C47" s="34">
        <f t="shared" si="2"/>
        <v>7.3102087926357918E-14</v>
      </c>
      <c r="D47" s="34">
        <f t="shared" si="0"/>
        <v>1.0906590490241075E-5</v>
      </c>
      <c r="E47" s="42">
        <f t="shared" si="3"/>
        <v>1.3633238112801341E-6</v>
      </c>
      <c r="G47" s="54">
        <v>0.39583333333333298</v>
      </c>
      <c r="H47" s="47">
        <f t="shared" si="4"/>
        <v>1.2951576207161273E-6</v>
      </c>
      <c r="I47" s="47">
        <f t="shared" si="5"/>
        <v>1.3496905731673328E-6</v>
      </c>
      <c r="J47" s="47">
        <f t="shared" si="6"/>
        <v>1.3496905731673328E-6</v>
      </c>
      <c r="K47" s="47">
        <f t="shared" si="7"/>
        <v>1.3496905731673328E-6</v>
      </c>
      <c r="L47" s="47">
        <f t="shared" si="8"/>
        <v>1.2269914301521207E-6</v>
      </c>
      <c r="M47" s="47">
        <f t="shared" si="9"/>
        <v>8.1799428676808044E-7</v>
      </c>
      <c r="N47" s="48">
        <f t="shared" si="10"/>
        <v>7.4982809620407381E-7</v>
      </c>
    </row>
    <row r="48" spans="1:14" x14ac:dyDescent="0.2">
      <c r="A48" s="37">
        <f t="shared" si="11"/>
        <v>9.75</v>
      </c>
      <c r="B48" s="34">
        <f t="shared" si="1"/>
        <v>3.1142796499933352E-6</v>
      </c>
      <c r="C48" s="34">
        <f t="shared" si="2"/>
        <v>3.4978213251192736E-12</v>
      </c>
      <c r="D48" s="34">
        <f t="shared" si="0"/>
        <v>3.1142831478146601E-6</v>
      </c>
      <c r="E48" s="42">
        <f t="shared" si="3"/>
        <v>3.8928539347683241E-7</v>
      </c>
      <c r="G48" s="54">
        <v>0.40625</v>
      </c>
      <c r="H48" s="47">
        <f t="shared" si="4"/>
        <v>3.6982112380299079E-7</v>
      </c>
      <c r="I48" s="47">
        <f t="shared" si="5"/>
        <v>3.8539253954206407E-7</v>
      </c>
      <c r="J48" s="47">
        <f t="shared" si="6"/>
        <v>3.8539253954206407E-7</v>
      </c>
      <c r="K48" s="47">
        <f t="shared" si="7"/>
        <v>3.8539253954206407E-7</v>
      </c>
      <c r="L48" s="47">
        <f t="shared" si="8"/>
        <v>3.5035685412914917E-7</v>
      </c>
      <c r="M48" s="47">
        <f t="shared" si="9"/>
        <v>2.3357123608609945E-7</v>
      </c>
      <c r="N48" s="48">
        <f t="shared" si="10"/>
        <v>2.1410696641225785E-7</v>
      </c>
    </row>
    <row r="49" spans="1:14" x14ac:dyDescent="0.2">
      <c r="A49" s="37">
        <f t="shared" si="11"/>
        <v>10</v>
      </c>
      <c r="B49" s="34">
        <f t="shared" si="1"/>
        <v>8.6021848468924528E-7</v>
      </c>
      <c r="C49" s="34">
        <f t="shared" si="2"/>
        <v>1.1704009400606332E-10</v>
      </c>
      <c r="D49" s="34">
        <f t="shared" si="0"/>
        <v>8.6033552478325132E-7</v>
      </c>
      <c r="E49" s="42">
        <f t="shared" si="3"/>
        <v>1.0754194059790639E-7</v>
      </c>
      <c r="G49" s="54">
        <v>0.41666666666666702</v>
      </c>
      <c r="H49" s="47">
        <f t="shared" si="4"/>
        <v>1.0216484356801106E-7</v>
      </c>
      <c r="I49" s="47">
        <f t="shared" si="5"/>
        <v>1.0646652119192732E-7</v>
      </c>
      <c r="J49" s="47">
        <f t="shared" si="6"/>
        <v>1.0646652119192732E-7</v>
      </c>
      <c r="K49" s="47">
        <f t="shared" si="7"/>
        <v>1.0646652119192732E-7</v>
      </c>
      <c r="L49" s="47">
        <f t="shared" si="8"/>
        <v>9.6787746538115754E-8</v>
      </c>
      <c r="M49" s="47">
        <f t="shared" si="9"/>
        <v>6.4525164358743828E-8</v>
      </c>
      <c r="N49" s="48">
        <f t="shared" si="10"/>
        <v>5.9148067328848517E-8</v>
      </c>
    </row>
    <row r="50" spans="1:14" x14ac:dyDescent="0.2">
      <c r="A50" s="37">
        <f t="shared" si="11"/>
        <v>10.25</v>
      </c>
      <c r="B50" s="34">
        <f t="shared" si="1"/>
        <v>2.3059100903631019E-7</v>
      </c>
      <c r="C50" s="34">
        <f t="shared" si="2"/>
        <v>2.8052006784886152E-9</v>
      </c>
      <c r="D50" s="34">
        <f t="shared" si="0"/>
        <v>2.3339620971479882E-7</v>
      </c>
      <c r="E50" s="42">
        <f t="shared" si="3"/>
        <v>2.9174526214349846E-8</v>
      </c>
      <c r="G50" s="54">
        <v>0.42708333333333298</v>
      </c>
      <c r="H50" s="47">
        <f t="shared" si="4"/>
        <v>2.7715799903632351E-8</v>
      </c>
      <c r="I50" s="47">
        <f t="shared" si="5"/>
        <v>2.8882780952206346E-8</v>
      </c>
      <c r="J50" s="47">
        <f t="shared" si="6"/>
        <v>2.8882780952206346E-8</v>
      </c>
      <c r="K50" s="47">
        <f t="shared" si="7"/>
        <v>2.8882780952206346E-8</v>
      </c>
      <c r="L50" s="47">
        <f t="shared" si="8"/>
        <v>2.6257073592914862E-8</v>
      </c>
      <c r="M50" s="47">
        <f t="shared" si="9"/>
        <v>1.7504715728609908E-8</v>
      </c>
      <c r="N50" s="48">
        <f t="shared" si="10"/>
        <v>1.6045989417892416E-8</v>
      </c>
    </row>
    <row r="51" spans="1:14" x14ac:dyDescent="0.2">
      <c r="A51" s="37">
        <f t="shared" si="11"/>
        <v>10.5</v>
      </c>
      <c r="B51" s="34">
        <f t="shared" si="1"/>
        <v>6.0162283392160042E-8</v>
      </c>
      <c r="C51" s="34">
        <f t="shared" si="2"/>
        <v>4.9229318874767234E-8</v>
      </c>
      <c r="D51" s="34">
        <f t="shared" si="0"/>
        <v>1.0939160226692728E-7</v>
      </c>
      <c r="E51" s="42">
        <f t="shared" si="3"/>
        <v>1.3673950283365907E-8</v>
      </c>
      <c r="G51" s="54">
        <v>0.4375</v>
      </c>
      <c r="H51" s="47">
        <f t="shared" si="4"/>
        <v>1.2990252769197611E-8</v>
      </c>
      <c r="I51" s="47">
        <f t="shared" si="5"/>
        <v>1.3537210780532248E-8</v>
      </c>
      <c r="J51" s="47">
        <f t="shared" si="6"/>
        <v>1.3537210780532248E-8</v>
      </c>
      <c r="K51" s="47">
        <f t="shared" si="7"/>
        <v>1.3537210780532248E-8</v>
      </c>
      <c r="L51" s="47">
        <f t="shared" si="8"/>
        <v>1.2306555255029316E-8</v>
      </c>
      <c r="M51" s="47">
        <f t="shared" si="9"/>
        <v>8.2043701700195442E-9</v>
      </c>
      <c r="N51" s="48">
        <f t="shared" si="10"/>
        <v>7.5206726558512497E-9</v>
      </c>
    </row>
    <row r="52" spans="1:14" x14ac:dyDescent="0.2">
      <c r="A52" s="37">
        <f t="shared" si="11"/>
        <v>10.75</v>
      </c>
      <c r="B52" s="34">
        <f t="shared" si="1"/>
        <v>1.5317977468083325E-8</v>
      </c>
      <c r="C52" s="34">
        <f t="shared" si="2"/>
        <v>6.4544687304703234E-7</v>
      </c>
      <c r="D52" s="34">
        <f t="shared" si="0"/>
        <v>6.6076485051511564E-7</v>
      </c>
      <c r="E52" s="42">
        <f t="shared" si="3"/>
        <v>8.2595606314389441E-8</v>
      </c>
      <c r="G52" s="54">
        <v>0.44791666666666702</v>
      </c>
      <c r="H52" s="47">
        <f t="shared" si="4"/>
        <v>7.846582599866996E-8</v>
      </c>
      <c r="I52" s="47">
        <f t="shared" si="5"/>
        <v>8.1769650251245548E-8</v>
      </c>
      <c r="J52" s="47">
        <f t="shared" si="6"/>
        <v>8.1769650251245548E-8</v>
      </c>
      <c r="K52" s="47">
        <f t="shared" si="7"/>
        <v>8.1769650251245548E-8</v>
      </c>
      <c r="L52" s="47">
        <f t="shared" si="8"/>
        <v>7.4336045682950505E-8</v>
      </c>
      <c r="M52" s="47">
        <f t="shared" si="9"/>
        <v>4.9557363788633663E-8</v>
      </c>
      <c r="N52" s="48">
        <f t="shared" si="10"/>
        <v>4.5427583472914195E-8</v>
      </c>
    </row>
    <row r="53" spans="1:14" x14ac:dyDescent="0.2">
      <c r="A53" s="37">
        <f t="shared" si="11"/>
        <v>11</v>
      </c>
      <c r="B53" s="34">
        <f t="shared" si="1"/>
        <v>3.8151748863146889E-9</v>
      </c>
      <c r="C53" s="34">
        <f t="shared" si="2"/>
        <v>6.4403410441798609E-6</v>
      </c>
      <c r="D53" s="34">
        <f t="shared" si="0"/>
        <v>6.4441562190661759E-6</v>
      </c>
      <c r="E53" s="42">
        <f t="shared" si="3"/>
        <v>8.0551952738327178E-7</v>
      </c>
      <c r="G53" s="54">
        <v>0.45833333333333298</v>
      </c>
      <c r="H53" s="47">
        <f t="shared" si="4"/>
        <v>7.6524355101410819E-7</v>
      </c>
      <c r="I53" s="47">
        <f t="shared" si="5"/>
        <v>7.9746433210943908E-7</v>
      </c>
      <c r="J53" s="47">
        <f t="shared" si="6"/>
        <v>7.9746433210943908E-7</v>
      </c>
      <c r="K53" s="47">
        <f t="shared" si="7"/>
        <v>7.9746433210943908E-7</v>
      </c>
      <c r="L53" s="47">
        <f t="shared" si="8"/>
        <v>7.249675746449446E-7</v>
      </c>
      <c r="M53" s="47">
        <f t="shared" si="9"/>
        <v>4.8331171642996307E-7</v>
      </c>
      <c r="N53" s="48">
        <f t="shared" si="10"/>
        <v>4.4303574006079953E-7</v>
      </c>
    </row>
    <row r="54" spans="1:14" x14ac:dyDescent="0.2">
      <c r="A54" s="37">
        <f t="shared" si="11"/>
        <v>11.25</v>
      </c>
      <c r="B54" s="34">
        <f t="shared" si="1"/>
        <v>9.3155684371441052E-10</v>
      </c>
      <c r="C54" s="34">
        <f t="shared" si="2"/>
        <v>4.974663613472053E-5</v>
      </c>
      <c r="D54" s="34">
        <f t="shared" si="0"/>
        <v>4.9747567691564245E-5</v>
      </c>
      <c r="E54" s="42">
        <f t="shared" si="3"/>
        <v>6.218445961445529E-6</v>
      </c>
      <c r="G54" s="54">
        <v>0.46875</v>
      </c>
      <c r="H54" s="47">
        <f t="shared" si="4"/>
        <v>5.9075236633732524E-6</v>
      </c>
      <c r="I54" s="47">
        <f t="shared" si="5"/>
        <v>6.1562615018310738E-6</v>
      </c>
      <c r="J54" s="47">
        <f t="shared" si="6"/>
        <v>6.1562615018310738E-6</v>
      </c>
      <c r="K54" s="47">
        <f t="shared" si="7"/>
        <v>6.1562615018310738E-6</v>
      </c>
      <c r="L54" s="47">
        <f t="shared" si="8"/>
        <v>5.5966013653009759E-6</v>
      </c>
      <c r="M54" s="47">
        <f t="shared" si="9"/>
        <v>3.7310675768673171E-6</v>
      </c>
      <c r="N54" s="48">
        <f t="shared" si="10"/>
        <v>3.420145278795041E-6</v>
      </c>
    </row>
    <row r="55" spans="1:14" x14ac:dyDescent="0.2">
      <c r="A55" s="37">
        <f t="shared" si="11"/>
        <v>11.5</v>
      </c>
      <c r="B55" s="34">
        <f t="shared" si="1"/>
        <v>2.2343299701719671E-10</v>
      </c>
      <c r="C55" s="34">
        <f t="shared" si="2"/>
        <v>3.0216381088600021E-4</v>
      </c>
      <c r="D55" s="34">
        <f t="shared" si="0"/>
        <v>3.0216403431899725E-4</v>
      </c>
      <c r="E55" s="42">
        <f t="shared" si="3"/>
        <v>3.7770504289874649E-5</v>
      </c>
      <c r="G55" s="54">
        <v>0.47916666666666702</v>
      </c>
      <c r="H55" s="47">
        <f t="shared" si="4"/>
        <v>3.5881979075380913E-5</v>
      </c>
      <c r="I55" s="47">
        <f t="shared" si="5"/>
        <v>3.7392799246975904E-5</v>
      </c>
      <c r="J55" s="47">
        <f t="shared" si="6"/>
        <v>3.7392799246975904E-5</v>
      </c>
      <c r="K55" s="47">
        <f t="shared" si="7"/>
        <v>3.7392799246975904E-5</v>
      </c>
      <c r="L55" s="47">
        <f t="shared" si="8"/>
        <v>3.3993453860887185E-5</v>
      </c>
      <c r="M55" s="47">
        <f t="shared" si="9"/>
        <v>2.2662302573924789E-5</v>
      </c>
      <c r="N55" s="48">
        <f t="shared" si="10"/>
        <v>2.077377735943106E-5</v>
      </c>
    </row>
    <row r="56" spans="1:14" x14ac:dyDescent="0.2">
      <c r="A56" s="37">
        <f t="shared" si="11"/>
        <v>11.75</v>
      </c>
      <c r="B56" s="34">
        <f t="shared" si="1"/>
        <v>5.2736750209390149E-11</v>
      </c>
      <c r="C56" s="34">
        <f t="shared" si="2"/>
        <v>1.4643350029574886E-3</v>
      </c>
      <c r="D56" s="34">
        <f t="shared" si="0"/>
        <v>1.4643350556942389E-3</v>
      </c>
      <c r="E56" s="42">
        <f t="shared" si="3"/>
        <v>1.8304188196177984E-4</v>
      </c>
      <c r="G56" s="54">
        <v>0.48958333333333298</v>
      </c>
      <c r="H56" s="47">
        <f t="shared" si="4"/>
        <v>1.7388978786369083E-4</v>
      </c>
      <c r="I56" s="47">
        <f t="shared" si="5"/>
        <v>1.8121146314216204E-4</v>
      </c>
      <c r="J56" s="47">
        <f t="shared" si="6"/>
        <v>1.8121146314216204E-4</v>
      </c>
      <c r="K56" s="47">
        <f t="shared" si="7"/>
        <v>1.8121146314216204E-4</v>
      </c>
      <c r="L56" s="47">
        <f t="shared" si="8"/>
        <v>1.6473769376560186E-4</v>
      </c>
      <c r="M56" s="47">
        <f t="shared" si="9"/>
        <v>1.098251291770679E-4</v>
      </c>
      <c r="N56" s="48">
        <f t="shared" si="10"/>
        <v>1.0067303507897892E-4</v>
      </c>
    </row>
    <row r="57" spans="1:14" x14ac:dyDescent="0.2">
      <c r="A57" s="37">
        <f t="shared" si="11"/>
        <v>12</v>
      </c>
      <c r="B57" s="34">
        <f t="shared" si="1"/>
        <v>1.2269424198325414E-11</v>
      </c>
      <c r="C57" s="34">
        <f t="shared" si="2"/>
        <v>5.7382595570883432E-3</v>
      </c>
      <c r="D57" s="34">
        <f t="shared" si="0"/>
        <v>5.7382595693577674E-3</v>
      </c>
      <c r="E57" s="42">
        <f t="shared" si="3"/>
        <v>7.1728244616972082E-4</v>
      </c>
      <c r="G57" s="54">
        <v>0.5</v>
      </c>
      <c r="H57" s="47">
        <f t="shared" si="4"/>
        <v>6.8141832386123475E-4</v>
      </c>
      <c r="I57" s="47">
        <f t="shared" si="5"/>
        <v>7.101096217080236E-4</v>
      </c>
      <c r="J57" s="47">
        <f t="shared" si="6"/>
        <v>7.101096217080236E-4</v>
      </c>
      <c r="K57" s="47">
        <f t="shared" si="7"/>
        <v>7.101096217080236E-4</v>
      </c>
      <c r="L57" s="47">
        <f t="shared" si="8"/>
        <v>6.4555420155274878E-4</v>
      </c>
      <c r="M57" s="47">
        <f t="shared" si="9"/>
        <v>4.303694677018325E-4</v>
      </c>
      <c r="N57" s="48">
        <f t="shared" si="10"/>
        <v>3.9450534539334648E-4</v>
      </c>
    </row>
    <row r="58" spans="1:14" x14ac:dyDescent="0.2">
      <c r="A58" s="37">
        <f t="shared" si="11"/>
        <v>12.25</v>
      </c>
      <c r="B58" s="34">
        <f t="shared" si="1"/>
        <v>2.8179599850503646E-12</v>
      </c>
      <c r="C58" s="34">
        <f t="shared" si="2"/>
        <v>1.8410046464079469E-2</v>
      </c>
      <c r="D58" s="34">
        <f t="shared" si="0"/>
        <v>1.841004646689743E-2</v>
      </c>
      <c r="E58" s="42">
        <f t="shared" si="3"/>
        <v>2.3012558083621783E-3</v>
      </c>
      <c r="G58" s="54">
        <v>0.51041666666666696</v>
      </c>
      <c r="H58" s="47">
        <f t="shared" si="4"/>
        <v>2.1861930179440693E-3</v>
      </c>
      <c r="I58" s="47">
        <f t="shared" si="5"/>
        <v>2.2782432502785567E-3</v>
      </c>
      <c r="J58" s="47">
        <f t="shared" si="6"/>
        <v>2.2782432502785567E-3</v>
      </c>
      <c r="K58" s="47">
        <f t="shared" si="7"/>
        <v>2.2782432502785567E-3</v>
      </c>
      <c r="L58" s="47">
        <f t="shared" si="8"/>
        <v>2.0711302275259603E-3</v>
      </c>
      <c r="M58" s="47">
        <f t="shared" si="9"/>
        <v>1.3807534850173069E-3</v>
      </c>
      <c r="N58" s="48">
        <f t="shared" si="10"/>
        <v>1.2656906945991981E-3</v>
      </c>
    </row>
    <row r="59" spans="1:14" x14ac:dyDescent="0.2">
      <c r="A59" s="37">
        <f t="shared" si="11"/>
        <v>12.5</v>
      </c>
      <c r="B59" s="34">
        <f t="shared" si="1"/>
        <v>6.3980075783131376E-13</v>
      </c>
      <c r="C59" s="34">
        <f t="shared" si="2"/>
        <v>4.8917841771640734E-2</v>
      </c>
      <c r="D59" s="34">
        <f t="shared" si="0"/>
        <v>4.8917841772280535E-2</v>
      </c>
      <c r="E59" s="42">
        <f t="shared" si="3"/>
        <v>6.1147302215350651E-3</v>
      </c>
      <c r="G59" s="54">
        <v>0.52083333333333304</v>
      </c>
      <c r="H59" s="47">
        <f t="shared" si="4"/>
        <v>5.8089937104583112E-3</v>
      </c>
      <c r="I59" s="47">
        <f t="shared" si="5"/>
        <v>6.0535829193197142E-3</v>
      </c>
      <c r="J59" s="47">
        <f t="shared" si="6"/>
        <v>6.0535829193197142E-3</v>
      </c>
      <c r="K59" s="47">
        <f t="shared" si="7"/>
        <v>6.0535829193197142E-3</v>
      </c>
      <c r="L59" s="47">
        <f t="shared" si="8"/>
        <v>5.5032571993815591E-3</v>
      </c>
      <c r="M59" s="47">
        <f t="shared" si="9"/>
        <v>3.668838132921039E-3</v>
      </c>
      <c r="N59" s="48">
        <f t="shared" si="10"/>
        <v>3.363101621844286E-3</v>
      </c>
    </row>
    <row r="60" spans="1:14" x14ac:dyDescent="0.2">
      <c r="A60" s="37">
        <f t="shared" si="11"/>
        <v>12.75</v>
      </c>
      <c r="B60" s="34">
        <f t="shared" si="1"/>
        <v>1.4378155666460619E-13</v>
      </c>
      <c r="C60" s="34">
        <f t="shared" si="2"/>
        <v>0.10880889018232186</v>
      </c>
      <c r="D60" s="34">
        <f t="shared" si="0"/>
        <v>0.10880889018246565</v>
      </c>
      <c r="E60" s="42">
        <f t="shared" si="3"/>
        <v>1.3601111272808202E-2</v>
      </c>
      <c r="G60" s="54">
        <v>0.53125</v>
      </c>
      <c r="H60" s="47">
        <f t="shared" si="4"/>
        <v>1.2921055709167791E-2</v>
      </c>
      <c r="I60" s="47">
        <f t="shared" si="5"/>
        <v>1.346510016008012E-2</v>
      </c>
      <c r="J60" s="47">
        <f t="shared" si="6"/>
        <v>1.346510016008012E-2</v>
      </c>
      <c r="K60" s="47">
        <f t="shared" si="7"/>
        <v>1.346510016008012E-2</v>
      </c>
      <c r="L60" s="47">
        <f t="shared" si="8"/>
        <v>1.2241000145527382E-2</v>
      </c>
      <c r="M60" s="47">
        <f t="shared" si="9"/>
        <v>8.1606667636849213E-3</v>
      </c>
      <c r="N60" s="48">
        <f t="shared" si="10"/>
        <v>7.4806112000445121E-3</v>
      </c>
    </row>
    <row r="61" spans="1:14" x14ac:dyDescent="0.2">
      <c r="A61" s="37">
        <f t="shared" si="11"/>
        <v>13</v>
      </c>
      <c r="B61" s="34">
        <f t="shared" si="1"/>
        <v>3.2019446902336121E-14</v>
      </c>
      <c r="C61" s="34">
        <f t="shared" si="2"/>
        <v>0.20462956704181245</v>
      </c>
      <c r="D61" s="34">
        <f t="shared" si="0"/>
        <v>0.20462956704184448</v>
      </c>
      <c r="E61" s="42">
        <f t="shared" si="3"/>
        <v>2.5578695880230554E-2</v>
      </c>
      <c r="G61" s="54">
        <v>0.54166666666666696</v>
      </c>
      <c r="H61" s="47">
        <f t="shared" si="4"/>
        <v>2.4299761086219025E-2</v>
      </c>
      <c r="I61" s="47">
        <f t="shared" si="5"/>
        <v>2.5322908921428248E-2</v>
      </c>
      <c r="J61" s="47">
        <f t="shared" si="6"/>
        <v>2.5322908921428248E-2</v>
      </c>
      <c r="K61" s="47">
        <f t="shared" si="7"/>
        <v>2.5322908921428248E-2</v>
      </c>
      <c r="L61" s="47">
        <f t="shared" si="8"/>
        <v>2.3020826292207499E-2</v>
      </c>
      <c r="M61" s="47">
        <f t="shared" si="9"/>
        <v>1.5347217528138331E-2</v>
      </c>
      <c r="N61" s="48">
        <f t="shared" si="10"/>
        <v>1.4068282734126806E-2</v>
      </c>
    </row>
    <row r="62" spans="1:14" x14ac:dyDescent="0.2">
      <c r="A62" s="37">
        <f t="shared" si="11"/>
        <v>13.25</v>
      </c>
      <c r="B62" s="34">
        <f t="shared" si="1"/>
        <v>7.0735776066208967E-15</v>
      </c>
      <c r="C62" s="34">
        <f t="shared" si="2"/>
        <v>0.32840107604772134</v>
      </c>
      <c r="D62" s="34">
        <f t="shared" si="0"/>
        <v>0.32840107604772839</v>
      </c>
      <c r="E62" s="42">
        <f t="shared" si="3"/>
        <v>4.1050134505966042E-2</v>
      </c>
      <c r="G62" s="54">
        <v>0.55208333333333304</v>
      </c>
      <c r="H62" s="47">
        <f t="shared" si="4"/>
        <v>3.8997627780667739E-2</v>
      </c>
      <c r="I62" s="47">
        <f t="shared" si="5"/>
        <v>4.063963316090638E-2</v>
      </c>
      <c r="J62" s="47">
        <f t="shared" si="6"/>
        <v>4.063963316090638E-2</v>
      </c>
      <c r="K62" s="47">
        <f t="shared" si="7"/>
        <v>4.063963316090638E-2</v>
      </c>
      <c r="L62" s="47">
        <f t="shared" si="8"/>
        <v>3.6945121055369436E-2</v>
      </c>
      <c r="M62" s="47">
        <f t="shared" si="9"/>
        <v>2.4630080703579624E-2</v>
      </c>
      <c r="N62" s="48">
        <f t="shared" si="10"/>
        <v>2.2577573978281324E-2</v>
      </c>
    </row>
    <row r="63" spans="1:14" x14ac:dyDescent="0.2">
      <c r="A63" s="37">
        <f t="shared" si="11"/>
        <v>13.5</v>
      </c>
      <c r="B63" s="34">
        <f t="shared" si="1"/>
        <v>1.5516866345133395E-15</v>
      </c>
      <c r="C63" s="34">
        <f t="shared" si="2"/>
        <v>0.45365555713927708</v>
      </c>
      <c r="D63" s="34">
        <f t="shared" si="0"/>
        <v>0.45365555713927863</v>
      </c>
      <c r="E63" s="42">
        <f t="shared" si="3"/>
        <v>5.6706944642409815E-2</v>
      </c>
      <c r="G63" s="54">
        <v>0.5625</v>
      </c>
      <c r="H63" s="47">
        <f t="shared" si="4"/>
        <v>5.3871597410289324E-2</v>
      </c>
      <c r="I63" s="47">
        <f t="shared" si="5"/>
        <v>5.613987519598572E-2</v>
      </c>
      <c r="J63" s="47">
        <f t="shared" si="6"/>
        <v>5.613987519598572E-2</v>
      </c>
      <c r="K63" s="47">
        <f t="shared" si="7"/>
        <v>5.613987519598572E-2</v>
      </c>
      <c r="L63" s="47">
        <f t="shared" si="8"/>
        <v>5.1036250178168832E-2</v>
      </c>
      <c r="M63" s="47">
        <f t="shared" si="9"/>
        <v>3.402416678544589E-2</v>
      </c>
      <c r="N63" s="48">
        <f t="shared" si="10"/>
        <v>3.1188819553325402E-2</v>
      </c>
    </row>
    <row r="64" spans="1:14" x14ac:dyDescent="0.2">
      <c r="A64" s="37">
        <f t="shared" si="11"/>
        <v>13.75</v>
      </c>
      <c r="B64" s="34">
        <f t="shared" si="1"/>
        <v>3.3829794040143714E-16</v>
      </c>
      <c r="C64" s="34">
        <f t="shared" si="2"/>
        <v>0.54379747400619505</v>
      </c>
      <c r="D64" s="34">
        <f t="shared" si="0"/>
        <v>0.54379747400619538</v>
      </c>
      <c r="E64" s="42">
        <f t="shared" si="3"/>
        <v>6.7974684250774409E-2</v>
      </c>
      <c r="G64" s="54">
        <v>0.57291666666666696</v>
      </c>
      <c r="H64" s="47">
        <f t="shared" si="4"/>
        <v>6.4575950038235685E-2</v>
      </c>
      <c r="I64" s="47">
        <f t="shared" si="5"/>
        <v>6.729493740826667E-2</v>
      </c>
      <c r="J64" s="47">
        <f t="shared" si="6"/>
        <v>6.729493740826667E-2</v>
      </c>
      <c r="K64" s="47">
        <f t="shared" si="7"/>
        <v>6.729493740826667E-2</v>
      </c>
      <c r="L64" s="47">
        <f t="shared" si="8"/>
        <v>6.1177215825696969E-2</v>
      </c>
      <c r="M64" s="47">
        <f t="shared" si="9"/>
        <v>4.0784810550464644E-2</v>
      </c>
      <c r="N64" s="48">
        <f t="shared" si="10"/>
        <v>3.7386076337925928E-2</v>
      </c>
    </row>
    <row r="65" spans="1:14" x14ac:dyDescent="0.2">
      <c r="A65" s="37">
        <f t="shared" si="11"/>
        <v>14</v>
      </c>
      <c r="B65" s="34">
        <f>IF(A65&gt;0,_xlfn.LOGNORM.DIST(A65,$B$2,$B$3,FALSE),0)</f>
        <v>7.3364318484197235E-17</v>
      </c>
      <c r="C65" s="34">
        <f>IF(A65&gt;0,_xlfn.LOGNORM.DIST(A65,$D$2,$D$3,FALSE),0)</f>
        <v>0.56991754343061818</v>
      </c>
      <c r="D65" s="34">
        <f t="shared" si="0"/>
        <v>0.56991754343061829</v>
      </c>
      <c r="E65" s="42">
        <f t="shared" si="3"/>
        <v>7.1239692928827272E-2</v>
      </c>
      <c r="G65" s="54">
        <v>0.58333333333333304</v>
      </c>
      <c r="H65" s="47">
        <f t="shared" si="4"/>
        <v>6.7677708282385909E-2</v>
      </c>
      <c r="I65" s="47">
        <f t="shared" si="5"/>
        <v>7.0527295999538997E-2</v>
      </c>
      <c r="J65" s="47">
        <f t="shared" si="6"/>
        <v>7.0527295999538997E-2</v>
      </c>
      <c r="K65" s="47">
        <f t="shared" si="7"/>
        <v>7.0527295999538997E-2</v>
      </c>
      <c r="L65" s="47">
        <f t="shared" si="8"/>
        <v>6.4115723635944546E-2</v>
      </c>
      <c r="M65" s="47">
        <f t="shared" si="9"/>
        <v>4.2743815757296362E-2</v>
      </c>
      <c r="N65" s="48">
        <f t="shared" si="10"/>
        <v>3.9181831110855006E-2</v>
      </c>
    </row>
    <row r="66" spans="1:14" x14ac:dyDescent="0.2">
      <c r="A66" s="37">
        <f t="shared" si="11"/>
        <v>14.25</v>
      </c>
      <c r="B66" s="34">
        <f t="shared" si="1"/>
        <v>1.5837696994395575E-17</v>
      </c>
      <c r="C66" s="34">
        <f t="shared" ref="C66:C87" si="12">IF(A66&gt;0,_xlfn.LOGNORM.DIST(A66,$D$2,$D$3,FALSE),0)</f>
        <v>0.52591368731565669</v>
      </c>
      <c r="D66" s="34">
        <f t="shared" si="0"/>
        <v>0.52591368731565669</v>
      </c>
      <c r="E66" s="42">
        <f t="shared" si="3"/>
        <v>6.5739210914457072E-2</v>
      </c>
      <c r="G66" s="54">
        <v>0.59375</v>
      </c>
      <c r="H66" s="47">
        <f t="shared" si="4"/>
        <v>6.2452250368734218E-2</v>
      </c>
      <c r="I66" s="47">
        <f t="shared" si="5"/>
        <v>6.5081818805312497E-2</v>
      </c>
      <c r="J66" s="47">
        <f t="shared" si="6"/>
        <v>6.5081818805312497E-2</v>
      </c>
      <c r="K66" s="47">
        <f t="shared" si="7"/>
        <v>6.5081818805312497E-2</v>
      </c>
      <c r="L66" s="47">
        <f t="shared" si="8"/>
        <v>5.9165289823011363E-2</v>
      </c>
      <c r="M66" s="47">
        <f t="shared" si="9"/>
        <v>3.9443526548674245E-2</v>
      </c>
      <c r="N66" s="48">
        <f t="shared" si="10"/>
        <v>3.615656600295139E-2</v>
      </c>
    </row>
    <row r="67" spans="1:14" x14ac:dyDescent="0.2">
      <c r="A67" s="37">
        <f t="shared" si="11"/>
        <v>14.5</v>
      </c>
      <c r="B67" s="34">
        <f t="shared" si="1"/>
        <v>3.4058560499794201E-18</v>
      </c>
      <c r="C67" s="34">
        <f t="shared" si="12"/>
        <v>0.43014408101249196</v>
      </c>
      <c r="D67" s="34">
        <f t="shared" si="0"/>
        <v>0.43014408101249196</v>
      </c>
      <c r="E67" s="42">
        <f t="shared" si="3"/>
        <v>5.3768010126561482E-2</v>
      </c>
      <c r="G67" s="54">
        <v>0.60416666666666696</v>
      </c>
      <c r="H67" s="47">
        <f t="shared" si="4"/>
        <v>5.1079609620233404E-2</v>
      </c>
      <c r="I67" s="47">
        <f t="shared" si="5"/>
        <v>5.3230330025295869E-2</v>
      </c>
      <c r="J67" s="47">
        <f t="shared" si="6"/>
        <v>5.3230330025295869E-2</v>
      </c>
      <c r="K67" s="47">
        <f t="shared" si="7"/>
        <v>5.3230330025295869E-2</v>
      </c>
      <c r="L67" s="47">
        <f t="shared" si="8"/>
        <v>4.8391209113905334E-2</v>
      </c>
      <c r="M67" s="47">
        <f t="shared" si="9"/>
        <v>3.2260806075936885E-2</v>
      </c>
      <c r="N67" s="48">
        <f t="shared" si="10"/>
        <v>2.9572405569608818E-2</v>
      </c>
    </row>
    <row r="68" spans="1:14" x14ac:dyDescent="0.2">
      <c r="A68" s="37">
        <f t="shared" si="11"/>
        <v>14.75</v>
      </c>
      <c r="B68" s="34">
        <f t="shared" si="1"/>
        <v>7.3007836444147266E-19</v>
      </c>
      <c r="C68" s="34">
        <f t="shared" si="12"/>
        <v>0.31376219861866844</v>
      </c>
      <c r="D68" s="34">
        <f t="shared" si="0"/>
        <v>0.31376219861866844</v>
      </c>
      <c r="E68" s="42">
        <f t="shared" si="3"/>
        <v>3.9220274827333548E-2</v>
      </c>
      <c r="G68" s="54">
        <v>0.61458333333333304</v>
      </c>
      <c r="H68" s="47">
        <f t="shared" si="4"/>
        <v>3.7259261085966867E-2</v>
      </c>
      <c r="I68" s="47">
        <f t="shared" si="5"/>
        <v>3.8828072079060215E-2</v>
      </c>
      <c r="J68" s="47">
        <f t="shared" si="6"/>
        <v>3.8828072079060215E-2</v>
      </c>
      <c r="K68" s="47">
        <f t="shared" si="7"/>
        <v>3.8828072079060215E-2</v>
      </c>
      <c r="L68" s="47">
        <f t="shared" si="8"/>
        <v>3.5298247344600193E-2</v>
      </c>
      <c r="M68" s="47">
        <f t="shared" si="9"/>
        <v>2.3532164896400129E-2</v>
      </c>
      <c r="N68" s="48">
        <f t="shared" si="10"/>
        <v>2.1571151155033455E-2</v>
      </c>
    </row>
    <row r="69" spans="1:14" x14ac:dyDescent="0.2">
      <c r="A69" s="37">
        <f t="shared" si="11"/>
        <v>15</v>
      </c>
      <c r="B69" s="34">
        <f t="shared" si="1"/>
        <v>1.5609238533379323E-19</v>
      </c>
      <c r="C69" s="34">
        <f t="shared" si="12"/>
        <v>0.20530476937997619</v>
      </c>
      <c r="D69" s="34">
        <f t="shared" si="0"/>
        <v>0.20530476937997619</v>
      </c>
      <c r="E69" s="42">
        <f t="shared" si="3"/>
        <v>2.5663096172497016E-2</v>
      </c>
      <c r="G69" s="54">
        <v>0.625</v>
      </c>
      <c r="H69" s="47">
        <f t="shared" si="4"/>
        <v>2.4379941363872164E-2</v>
      </c>
      <c r="I69" s="47">
        <f t="shared" si="5"/>
        <v>2.5406465210772045E-2</v>
      </c>
      <c r="J69" s="47">
        <f t="shared" si="6"/>
        <v>2.5406465210772045E-2</v>
      </c>
      <c r="K69" s="47">
        <f t="shared" si="7"/>
        <v>2.5406465210772045E-2</v>
      </c>
      <c r="L69" s="47">
        <f t="shared" si="8"/>
        <v>2.3096786555247314E-2</v>
      </c>
      <c r="M69" s="47">
        <f t="shared" si="9"/>
        <v>1.5397857703498209E-2</v>
      </c>
      <c r="N69" s="48">
        <f t="shared" si="10"/>
        <v>1.4114702894873361E-2</v>
      </c>
    </row>
    <row r="70" spans="1:14" x14ac:dyDescent="0.2">
      <c r="A70" s="37">
        <f t="shared" si="11"/>
        <v>15.25</v>
      </c>
      <c r="B70" s="34">
        <f t="shared" si="1"/>
        <v>3.3304523690215163E-20</v>
      </c>
      <c r="C70" s="34">
        <f t="shared" si="12"/>
        <v>0.12116594912647395</v>
      </c>
      <c r="D70" s="34">
        <f t="shared" si="0"/>
        <v>0.12116594912647395</v>
      </c>
      <c r="E70" s="42">
        <f t="shared" si="3"/>
        <v>1.514574364080924E-2</v>
      </c>
      <c r="G70" s="54">
        <v>0.63541666666666696</v>
      </c>
      <c r="H70" s="47">
        <f t="shared" si="4"/>
        <v>1.4388456458768777E-2</v>
      </c>
      <c r="I70" s="47">
        <f t="shared" si="5"/>
        <v>1.4994286204401148E-2</v>
      </c>
      <c r="J70" s="47">
        <f t="shared" si="6"/>
        <v>1.4994286204401148E-2</v>
      </c>
      <c r="K70" s="47">
        <f t="shared" si="7"/>
        <v>1.4994286204401148E-2</v>
      </c>
      <c r="L70" s="47">
        <f t="shared" si="8"/>
        <v>1.3631169276728316E-2</v>
      </c>
      <c r="M70" s="47">
        <f t="shared" si="9"/>
        <v>9.0874461844855439E-3</v>
      </c>
      <c r="N70" s="48">
        <f t="shared" si="10"/>
        <v>8.3301590024450825E-3</v>
      </c>
    </row>
    <row r="71" spans="1:14" x14ac:dyDescent="0.2">
      <c r="A71" s="37">
        <f t="shared" si="11"/>
        <v>15.5</v>
      </c>
      <c r="B71" s="34">
        <f t="shared" si="1"/>
        <v>7.0950582708712994E-21</v>
      </c>
      <c r="C71" s="34">
        <f t="shared" si="12"/>
        <v>6.4829816143749372E-2</v>
      </c>
      <c r="D71" s="34">
        <f t="shared" si="0"/>
        <v>6.4829816143749372E-2</v>
      </c>
      <c r="E71" s="42">
        <f t="shared" si="3"/>
        <v>8.1037270179686698E-3</v>
      </c>
      <c r="G71" s="54">
        <v>0.64583333333333304</v>
      </c>
      <c r="H71" s="47">
        <f t="shared" si="4"/>
        <v>7.6985406670702361E-3</v>
      </c>
      <c r="I71" s="47">
        <f t="shared" si="5"/>
        <v>8.022689747788983E-3</v>
      </c>
      <c r="J71" s="47">
        <f t="shared" si="6"/>
        <v>8.022689747788983E-3</v>
      </c>
      <c r="K71" s="47">
        <f t="shared" si="7"/>
        <v>8.022689747788983E-3</v>
      </c>
      <c r="L71" s="47">
        <f t="shared" si="8"/>
        <v>7.2933543161718033E-3</v>
      </c>
      <c r="M71" s="47">
        <f t="shared" si="9"/>
        <v>4.8622362107812013E-3</v>
      </c>
      <c r="N71" s="48">
        <f t="shared" si="10"/>
        <v>4.4570498598827685E-3</v>
      </c>
    </row>
    <row r="72" spans="1:14" x14ac:dyDescent="0.2">
      <c r="A72" s="37">
        <f t="shared" si="11"/>
        <v>15.75</v>
      </c>
      <c r="B72" s="34">
        <f t="shared" si="1"/>
        <v>1.5098893227946114E-21</v>
      </c>
      <c r="C72" s="34">
        <f t="shared" si="12"/>
        <v>3.1599457615313908E-2</v>
      </c>
      <c r="D72" s="34">
        <f t="shared" si="0"/>
        <v>3.1599457615313908E-2</v>
      </c>
      <c r="E72" s="42">
        <f t="shared" si="3"/>
        <v>3.9499322019142377E-3</v>
      </c>
      <c r="G72" s="54">
        <v>0.65625</v>
      </c>
      <c r="H72" s="47">
        <f t="shared" si="4"/>
        <v>3.7524355918185258E-3</v>
      </c>
      <c r="I72" s="47">
        <f t="shared" si="5"/>
        <v>3.9104328798950953E-3</v>
      </c>
      <c r="J72" s="47">
        <f t="shared" si="6"/>
        <v>3.9104328798950953E-3</v>
      </c>
      <c r="K72" s="47">
        <f t="shared" si="7"/>
        <v>3.9104328798950953E-3</v>
      </c>
      <c r="L72" s="47">
        <f t="shared" si="8"/>
        <v>3.5549389817228138E-3</v>
      </c>
      <c r="M72" s="47">
        <f t="shared" si="9"/>
        <v>2.3699593211485427E-3</v>
      </c>
      <c r="N72" s="48">
        <f t="shared" si="10"/>
        <v>2.1724627110528308E-3</v>
      </c>
    </row>
    <row r="73" spans="1:14" x14ac:dyDescent="0.2">
      <c r="A73" s="37">
        <f t="shared" si="11"/>
        <v>16</v>
      </c>
      <c r="B73" s="34">
        <f t="shared" si="1"/>
        <v>3.2111486410611336E-22</v>
      </c>
      <c r="C73" s="34">
        <f t="shared" si="12"/>
        <v>1.4095191824060513E-2</v>
      </c>
      <c r="D73" s="34">
        <f t="shared" ref="D73:D136" si="13">$B$4*B73 + $D$4*C73</f>
        <v>1.4095191824060513E-2</v>
      </c>
      <c r="E73" s="42">
        <f t="shared" si="3"/>
        <v>1.7618989780075636E-3</v>
      </c>
      <c r="G73" s="54">
        <v>0.66666666666666696</v>
      </c>
      <c r="H73" s="47">
        <f t="shared" si="4"/>
        <v>1.6738040291071853E-3</v>
      </c>
      <c r="I73" s="47">
        <f t="shared" si="5"/>
        <v>1.744279988227488E-3</v>
      </c>
      <c r="J73" s="47">
        <f t="shared" si="6"/>
        <v>1.744279988227488E-3</v>
      </c>
      <c r="K73" s="47">
        <f t="shared" si="7"/>
        <v>1.744279988227488E-3</v>
      </c>
      <c r="L73" s="47">
        <f t="shared" si="8"/>
        <v>1.5857090802068074E-3</v>
      </c>
      <c r="M73" s="47">
        <f t="shared" si="9"/>
        <v>1.0571393868045382E-3</v>
      </c>
      <c r="N73" s="48">
        <f t="shared" si="10"/>
        <v>9.6904443790416005E-4</v>
      </c>
    </row>
    <row r="74" spans="1:14" x14ac:dyDescent="0.2">
      <c r="A74" s="37">
        <f t="shared" si="11"/>
        <v>16.25</v>
      </c>
      <c r="B74" s="34">
        <f t="shared" ref="B74:B87" si="14">IF(A74&gt;0,_xlfn.LOGNORM.DIST(A74,$B$2,$B$3,FALSE),0)</f>
        <v>6.8277463233307641E-23</v>
      </c>
      <c r="C74" s="34">
        <f t="shared" si="12"/>
        <v>5.7784491839900339E-3</v>
      </c>
      <c r="D74" s="34">
        <f t="shared" si="13"/>
        <v>5.7784491839900339E-3</v>
      </c>
      <c r="E74" s="42">
        <f t="shared" ref="E74:E104" si="15">IF($D$105&gt;0, D74/$D$105, 0)</f>
        <v>7.2230614799875413E-4</v>
      </c>
      <c r="G74" s="54">
        <v>0.67708333333333304</v>
      </c>
      <c r="H74" s="47">
        <f t="shared" ref="H74:H104" si="16">E74*$H$7</f>
        <v>6.861908405988164E-4</v>
      </c>
      <c r="I74" s="47">
        <f t="shared" ref="I74:I104" si="17">E74*$I$7</f>
        <v>7.1508308651876658E-4</v>
      </c>
      <c r="J74" s="47">
        <f t="shared" ref="J74:J104" si="18">E74*$J$7</f>
        <v>7.1508308651876658E-4</v>
      </c>
      <c r="K74" s="47">
        <f t="shared" ref="K74:K104" si="19">E74*$K$7</f>
        <v>7.1508308651876658E-4</v>
      </c>
      <c r="L74" s="47">
        <f t="shared" ref="L74:L104" si="20">E74*$L$7</f>
        <v>6.5007553319887878E-4</v>
      </c>
      <c r="M74" s="47">
        <f t="shared" ref="M74:M104" si="21">E74*$M$7</f>
        <v>4.3338368879925247E-4</v>
      </c>
      <c r="N74" s="48">
        <f t="shared" ref="N74:N104" si="22">E74*$N$7</f>
        <v>3.9726838139931479E-4</v>
      </c>
    </row>
    <row r="75" spans="1:14" x14ac:dyDescent="0.2">
      <c r="A75" s="37">
        <f t="shared" ref="A75:A104" si="23">A74+$F$2</f>
        <v>16.5</v>
      </c>
      <c r="B75" s="34">
        <f t="shared" si="14"/>
        <v>1.451972667673794E-23</v>
      </c>
      <c r="C75" s="34">
        <f t="shared" si="12"/>
        <v>2.1860365413629542E-3</v>
      </c>
      <c r="D75" s="34">
        <f t="shared" si="13"/>
        <v>2.1860365413629542E-3</v>
      </c>
      <c r="E75" s="42">
        <f t="shared" si="15"/>
        <v>2.7325456767036922E-4</v>
      </c>
      <c r="G75" s="54">
        <v>0.6875</v>
      </c>
      <c r="H75" s="47">
        <f t="shared" si="16"/>
        <v>2.5959183928685073E-4</v>
      </c>
      <c r="I75" s="47">
        <f t="shared" si="17"/>
        <v>2.705220219936655E-4</v>
      </c>
      <c r="J75" s="47">
        <f t="shared" si="18"/>
        <v>2.705220219936655E-4</v>
      </c>
      <c r="K75" s="47">
        <f t="shared" si="19"/>
        <v>2.705220219936655E-4</v>
      </c>
      <c r="L75" s="47">
        <f t="shared" si="20"/>
        <v>2.4592911090333229E-4</v>
      </c>
      <c r="M75" s="47">
        <f t="shared" si="21"/>
        <v>1.6395274060222154E-4</v>
      </c>
      <c r="N75" s="48">
        <f t="shared" si="22"/>
        <v>1.5029001221870307E-4</v>
      </c>
    </row>
    <row r="76" spans="1:14" x14ac:dyDescent="0.2">
      <c r="A76" s="37">
        <f t="shared" si="23"/>
        <v>16.75</v>
      </c>
      <c r="B76" s="34">
        <f t="shared" si="14"/>
        <v>3.0892562773230499E-24</v>
      </c>
      <c r="C76" s="34">
        <f t="shared" si="12"/>
        <v>7.6606904428153707E-4</v>
      </c>
      <c r="D76" s="34">
        <f t="shared" si="13"/>
        <v>7.6606904428153707E-4</v>
      </c>
      <c r="E76" s="42">
        <f t="shared" si="15"/>
        <v>9.5758630535192107E-5</v>
      </c>
      <c r="G76" s="54">
        <v>0.69791666666666696</v>
      </c>
      <c r="H76" s="47">
        <f t="shared" si="16"/>
        <v>9.0970699008432494E-5</v>
      </c>
      <c r="I76" s="47">
        <f t="shared" si="17"/>
        <v>9.4801044229840184E-5</v>
      </c>
      <c r="J76" s="47">
        <f t="shared" si="18"/>
        <v>9.4801044229840184E-5</v>
      </c>
      <c r="K76" s="47">
        <f t="shared" si="19"/>
        <v>9.4801044229840184E-5</v>
      </c>
      <c r="L76" s="47">
        <f t="shared" si="20"/>
        <v>8.6182767481672896E-5</v>
      </c>
      <c r="M76" s="47">
        <f t="shared" si="21"/>
        <v>5.7455178321115264E-5</v>
      </c>
      <c r="N76" s="48">
        <f t="shared" si="22"/>
        <v>5.2667246794355665E-5</v>
      </c>
    </row>
    <row r="77" spans="1:14" x14ac:dyDescent="0.2">
      <c r="A77" s="37">
        <f t="shared" si="23"/>
        <v>17</v>
      </c>
      <c r="B77" s="34">
        <f t="shared" si="14"/>
        <v>6.5781389491395262E-25</v>
      </c>
      <c r="C77" s="34">
        <f t="shared" si="12"/>
        <v>2.4957996517315699E-4</v>
      </c>
      <c r="D77" s="34">
        <f t="shared" si="13"/>
        <v>2.4957996517315699E-4</v>
      </c>
      <c r="E77" s="42">
        <f t="shared" si="15"/>
        <v>3.1197495646644617E-5</v>
      </c>
      <c r="G77" s="54">
        <v>0.70833333333333304</v>
      </c>
      <c r="H77" s="47">
        <f t="shared" si="16"/>
        <v>2.9637620864312386E-5</v>
      </c>
      <c r="I77" s="47">
        <f t="shared" si="17"/>
        <v>3.0885520690178169E-5</v>
      </c>
      <c r="J77" s="47">
        <f t="shared" si="18"/>
        <v>3.0885520690178169E-5</v>
      </c>
      <c r="K77" s="47">
        <f t="shared" si="19"/>
        <v>3.0885520690178169E-5</v>
      </c>
      <c r="L77" s="47">
        <f t="shared" si="20"/>
        <v>2.8077746081980155E-5</v>
      </c>
      <c r="M77" s="47">
        <f t="shared" si="21"/>
        <v>1.8718497387986771E-5</v>
      </c>
      <c r="N77" s="48">
        <f t="shared" si="22"/>
        <v>1.715862260565454E-5</v>
      </c>
    </row>
    <row r="78" spans="1:14" x14ac:dyDescent="0.2">
      <c r="A78" s="37">
        <f t="shared" si="23"/>
        <v>17.25</v>
      </c>
      <c r="B78" s="34">
        <f t="shared" si="14"/>
        <v>1.4022796050358329E-25</v>
      </c>
      <c r="C78" s="34">
        <f t="shared" si="12"/>
        <v>7.5851516023093223E-5</v>
      </c>
      <c r="D78" s="34">
        <f t="shared" si="13"/>
        <v>7.5851516023093223E-5</v>
      </c>
      <c r="E78" s="42">
        <f t="shared" si="15"/>
        <v>9.4814395028866511E-6</v>
      </c>
      <c r="G78" s="54">
        <v>0.71875</v>
      </c>
      <c r="H78" s="47">
        <f t="shared" si="16"/>
        <v>9.0073675277423185E-6</v>
      </c>
      <c r="I78" s="47">
        <f t="shared" si="17"/>
        <v>9.3866251078577849E-6</v>
      </c>
      <c r="J78" s="47">
        <f t="shared" si="18"/>
        <v>9.3866251078577849E-6</v>
      </c>
      <c r="K78" s="47">
        <f t="shared" si="19"/>
        <v>9.3866251078577849E-6</v>
      </c>
      <c r="L78" s="47">
        <f t="shared" si="20"/>
        <v>8.5332955525979858E-6</v>
      </c>
      <c r="M78" s="47">
        <f t="shared" si="21"/>
        <v>5.6888637017319908E-6</v>
      </c>
      <c r="N78" s="48">
        <f t="shared" si="22"/>
        <v>5.2147917265876582E-6</v>
      </c>
    </row>
    <row r="79" spans="1:14" x14ac:dyDescent="0.2">
      <c r="A79" s="37">
        <f t="shared" si="23"/>
        <v>17.5</v>
      </c>
      <c r="B79" s="34">
        <f t="shared" si="14"/>
        <v>2.993422262975711E-26</v>
      </c>
      <c r="C79" s="34">
        <f t="shared" si="12"/>
        <v>2.157412152252864E-5</v>
      </c>
      <c r="D79" s="34">
        <f t="shared" si="13"/>
        <v>2.157412152252864E-5</v>
      </c>
      <c r="E79" s="42">
        <f t="shared" si="15"/>
        <v>2.6967651903160796E-6</v>
      </c>
      <c r="G79" s="54">
        <v>0.72916666666666696</v>
      </c>
      <c r="H79" s="47">
        <f t="shared" si="16"/>
        <v>2.5619269308002755E-6</v>
      </c>
      <c r="I79" s="47">
        <f t="shared" si="17"/>
        <v>2.6697975384129188E-6</v>
      </c>
      <c r="J79" s="47">
        <f t="shared" si="18"/>
        <v>2.6697975384129188E-6</v>
      </c>
      <c r="K79" s="47">
        <f t="shared" si="19"/>
        <v>2.6697975384129188E-6</v>
      </c>
      <c r="L79" s="47">
        <f t="shared" si="20"/>
        <v>2.4270886712844715E-6</v>
      </c>
      <c r="M79" s="47">
        <f t="shared" si="21"/>
        <v>1.6180591141896476E-6</v>
      </c>
      <c r="N79" s="48">
        <f t="shared" si="22"/>
        <v>1.4832208546738438E-6</v>
      </c>
    </row>
    <row r="80" spans="1:14" x14ac:dyDescent="0.2">
      <c r="A80" s="37">
        <f t="shared" si="23"/>
        <v>17.75</v>
      </c>
      <c r="B80" s="34">
        <f t="shared" si="14"/>
        <v>6.4004960579893406E-27</v>
      </c>
      <c r="C80" s="34">
        <f t="shared" si="12"/>
        <v>5.7602747851049195E-6</v>
      </c>
      <c r="D80" s="34">
        <f t="shared" si="13"/>
        <v>5.7602747851049195E-6</v>
      </c>
      <c r="E80" s="42">
        <f t="shared" si="15"/>
        <v>7.2003434813811472E-7</v>
      </c>
      <c r="G80" s="54">
        <v>0.73958333333333304</v>
      </c>
      <c r="H80" s="47">
        <f t="shared" si="16"/>
        <v>6.8403263073120895E-7</v>
      </c>
      <c r="I80" s="47">
        <f t="shared" si="17"/>
        <v>7.1283400465673353E-7</v>
      </c>
      <c r="J80" s="47">
        <f t="shared" si="18"/>
        <v>7.1283400465673353E-7</v>
      </c>
      <c r="K80" s="47">
        <f t="shared" si="19"/>
        <v>7.1283400465673353E-7</v>
      </c>
      <c r="L80" s="47">
        <f t="shared" si="20"/>
        <v>6.4803091332430328E-7</v>
      </c>
      <c r="M80" s="47">
        <f t="shared" si="21"/>
        <v>4.320206088828688E-7</v>
      </c>
      <c r="N80" s="48">
        <f t="shared" si="22"/>
        <v>3.9601889147596313E-7</v>
      </c>
    </row>
    <row r="81" spans="1:14" x14ac:dyDescent="0.2">
      <c r="A81" s="37">
        <f t="shared" si="23"/>
        <v>18</v>
      </c>
      <c r="B81" s="34">
        <f t="shared" si="14"/>
        <v>1.3711149926805381E-27</v>
      </c>
      <c r="C81" s="34">
        <f t="shared" si="12"/>
        <v>1.447943346692409E-6</v>
      </c>
      <c r="D81" s="34">
        <f t="shared" si="13"/>
        <v>1.447943346692409E-6</v>
      </c>
      <c r="E81" s="42">
        <f t="shared" si="15"/>
        <v>1.8099291833655108E-7</v>
      </c>
      <c r="G81" s="54">
        <v>0.75</v>
      </c>
      <c r="H81" s="47">
        <f t="shared" si="16"/>
        <v>1.7194327241972351E-7</v>
      </c>
      <c r="I81" s="47">
        <f t="shared" si="17"/>
        <v>1.7918298915318557E-7</v>
      </c>
      <c r="J81" s="47">
        <f t="shared" si="18"/>
        <v>1.7918298915318557E-7</v>
      </c>
      <c r="K81" s="47">
        <f t="shared" si="19"/>
        <v>1.7918298915318557E-7</v>
      </c>
      <c r="L81" s="47">
        <f t="shared" si="20"/>
        <v>1.6289362650289598E-7</v>
      </c>
      <c r="M81" s="47">
        <f t="shared" si="21"/>
        <v>1.0859575100193064E-7</v>
      </c>
      <c r="N81" s="48">
        <f t="shared" si="22"/>
        <v>9.9546105085103101E-8</v>
      </c>
    </row>
    <row r="82" spans="1:14" x14ac:dyDescent="0.2">
      <c r="A82" s="37">
        <f t="shared" si="23"/>
        <v>18.25</v>
      </c>
      <c r="B82" s="34">
        <f t="shared" si="14"/>
        <v>2.943360443414749E-28</v>
      </c>
      <c r="C82" s="34">
        <f t="shared" si="12"/>
        <v>3.4359740284844932E-7</v>
      </c>
      <c r="D82" s="34">
        <f t="shared" si="13"/>
        <v>3.4359740284844932E-7</v>
      </c>
      <c r="E82" s="42">
        <f t="shared" si="15"/>
        <v>4.2949675356056159E-8</v>
      </c>
      <c r="G82" s="54">
        <v>0.76041666666666696</v>
      </c>
      <c r="H82" s="47">
        <f t="shared" si="16"/>
        <v>4.0802191588253352E-8</v>
      </c>
      <c r="I82" s="47">
        <f t="shared" si="17"/>
        <v>4.2520178602495598E-8</v>
      </c>
      <c r="J82" s="47">
        <f t="shared" si="18"/>
        <v>4.2520178602495598E-8</v>
      </c>
      <c r="K82" s="47">
        <f t="shared" si="19"/>
        <v>4.2520178602495598E-8</v>
      </c>
      <c r="L82" s="47">
        <f t="shared" si="20"/>
        <v>3.8654707820450546E-8</v>
      </c>
      <c r="M82" s="47">
        <f t="shared" si="21"/>
        <v>2.5769805213633696E-8</v>
      </c>
      <c r="N82" s="48">
        <f t="shared" si="22"/>
        <v>2.3622321445830889E-8</v>
      </c>
    </row>
    <row r="83" spans="1:14" x14ac:dyDescent="0.2">
      <c r="A83" s="37">
        <f t="shared" si="23"/>
        <v>18.5</v>
      </c>
      <c r="B83" s="34">
        <f t="shared" si="14"/>
        <v>6.3330079988671231E-29</v>
      </c>
      <c r="C83" s="34">
        <f t="shared" si="12"/>
        <v>7.7173543848948707E-8</v>
      </c>
      <c r="D83" s="34">
        <f t="shared" si="13"/>
        <v>7.7173543848948707E-8</v>
      </c>
      <c r="E83" s="42">
        <f t="shared" si="15"/>
        <v>9.6466929811185868E-9</v>
      </c>
      <c r="G83" s="54">
        <v>0.77083333333333304</v>
      </c>
      <c r="H83" s="47">
        <f t="shared" si="16"/>
        <v>9.1643583320626574E-9</v>
      </c>
      <c r="I83" s="47">
        <f t="shared" si="17"/>
        <v>9.5502260513074016E-9</v>
      </c>
      <c r="J83" s="47">
        <f t="shared" si="18"/>
        <v>9.5502260513074016E-9</v>
      </c>
      <c r="K83" s="47">
        <f t="shared" si="19"/>
        <v>9.5502260513074016E-9</v>
      </c>
      <c r="L83" s="47">
        <f t="shared" si="20"/>
        <v>8.6820236830067279E-9</v>
      </c>
      <c r="M83" s="47">
        <f t="shared" si="21"/>
        <v>5.7880157886711522E-9</v>
      </c>
      <c r="N83" s="48">
        <f t="shared" si="22"/>
        <v>5.3056811396152228E-9</v>
      </c>
    </row>
    <row r="84" spans="1:14" x14ac:dyDescent="0.2">
      <c r="A84" s="37">
        <f t="shared" si="23"/>
        <v>18.75</v>
      </c>
      <c r="B84" s="34">
        <f t="shared" si="14"/>
        <v>1.3660129194193825E-29</v>
      </c>
      <c r="C84" s="34">
        <f t="shared" si="12"/>
        <v>1.6446750496106504E-8</v>
      </c>
      <c r="D84" s="34">
        <f t="shared" si="13"/>
        <v>1.6446750496106504E-8</v>
      </c>
      <c r="E84" s="42">
        <f t="shared" si="15"/>
        <v>2.0558438120133126E-9</v>
      </c>
      <c r="G84" s="54">
        <v>0.78125</v>
      </c>
      <c r="H84" s="47">
        <f t="shared" si="16"/>
        <v>1.9530516214126468E-9</v>
      </c>
      <c r="I84" s="47">
        <f t="shared" si="17"/>
        <v>2.0352853738931795E-9</v>
      </c>
      <c r="J84" s="47">
        <f t="shared" si="18"/>
        <v>2.0352853738931795E-9</v>
      </c>
      <c r="K84" s="47">
        <f t="shared" si="19"/>
        <v>2.0352853738931795E-9</v>
      </c>
      <c r="L84" s="47">
        <f t="shared" si="20"/>
        <v>1.8502594308119813E-9</v>
      </c>
      <c r="M84" s="47">
        <f t="shared" si="21"/>
        <v>1.2335062872079875E-9</v>
      </c>
      <c r="N84" s="48">
        <f t="shared" si="22"/>
        <v>1.130714096607322E-9</v>
      </c>
    </row>
    <row r="85" spans="1:14" x14ac:dyDescent="0.2">
      <c r="A85" s="37">
        <f t="shared" si="23"/>
        <v>19</v>
      </c>
      <c r="B85" s="34">
        <f t="shared" si="14"/>
        <v>2.9542881907747478E-30</v>
      </c>
      <c r="C85" s="34">
        <f t="shared" si="12"/>
        <v>3.3335247297719728E-9</v>
      </c>
      <c r="D85" s="34">
        <f t="shared" si="13"/>
        <v>3.3335247297719728E-9</v>
      </c>
      <c r="E85" s="42">
        <f t="shared" si="15"/>
        <v>4.166905912214965E-10</v>
      </c>
      <c r="G85" s="54">
        <v>0.79166666666666696</v>
      </c>
      <c r="H85" s="47">
        <f t="shared" si="16"/>
        <v>3.9585606166042166E-10</v>
      </c>
      <c r="I85" s="47">
        <f t="shared" si="17"/>
        <v>4.1252368530928155E-10</v>
      </c>
      <c r="J85" s="47">
        <f t="shared" si="18"/>
        <v>4.1252368530928155E-10</v>
      </c>
      <c r="K85" s="47">
        <f t="shared" si="19"/>
        <v>4.1252368530928155E-10</v>
      </c>
      <c r="L85" s="47">
        <f t="shared" si="20"/>
        <v>3.7502153209934687E-10</v>
      </c>
      <c r="M85" s="47">
        <f t="shared" si="21"/>
        <v>2.5001435473289791E-10</v>
      </c>
      <c r="N85" s="48">
        <f t="shared" si="22"/>
        <v>2.2917982517182309E-10</v>
      </c>
    </row>
    <row r="86" spans="1:14" x14ac:dyDescent="0.2">
      <c r="A86" s="37">
        <f t="shared" si="23"/>
        <v>19.25</v>
      </c>
      <c r="B86" s="34">
        <f t="shared" si="14"/>
        <v>6.4072792507342642E-31</v>
      </c>
      <c r="C86" s="34">
        <f t="shared" si="12"/>
        <v>6.4403174790659006E-10</v>
      </c>
      <c r="D86" s="34">
        <f t="shared" si="13"/>
        <v>6.4403174790659006E-10</v>
      </c>
      <c r="E86" s="42">
        <f t="shared" si="15"/>
        <v>8.0503968488323745E-11</v>
      </c>
      <c r="G86" s="54">
        <v>0.80208333333333304</v>
      </c>
      <c r="H86" s="47">
        <f t="shared" si="16"/>
        <v>7.6478770063907552E-11</v>
      </c>
      <c r="I86" s="47">
        <f t="shared" si="17"/>
        <v>7.9698928803440511E-11</v>
      </c>
      <c r="J86" s="47">
        <f t="shared" si="18"/>
        <v>7.9698928803440511E-11</v>
      </c>
      <c r="K86" s="47">
        <f t="shared" si="19"/>
        <v>7.9698928803440511E-11</v>
      </c>
      <c r="L86" s="47">
        <f t="shared" si="20"/>
        <v>7.2453571639491373E-11</v>
      </c>
      <c r="M86" s="47">
        <f t="shared" si="21"/>
        <v>4.8302381092994244E-11</v>
      </c>
      <c r="N86" s="48">
        <f t="shared" si="22"/>
        <v>4.4277182668578065E-11</v>
      </c>
    </row>
    <row r="87" spans="1:14" x14ac:dyDescent="0.2">
      <c r="A87" s="37">
        <f t="shared" si="23"/>
        <v>19.5</v>
      </c>
      <c r="B87" s="34">
        <f t="shared" si="14"/>
        <v>1.3937388510934703E-31</v>
      </c>
      <c r="C87" s="34">
        <f t="shared" si="12"/>
        <v>1.1885331445369693E-10</v>
      </c>
      <c r="D87" s="34">
        <f t="shared" si="13"/>
        <v>1.1885331445369693E-10</v>
      </c>
      <c r="E87" s="42">
        <f t="shared" si="15"/>
        <v>1.4856664306712113E-11</v>
      </c>
      <c r="G87" s="54">
        <v>0.8125</v>
      </c>
      <c r="H87" s="47">
        <f t="shared" si="16"/>
        <v>1.4113831091376506E-11</v>
      </c>
      <c r="I87" s="47">
        <f t="shared" si="17"/>
        <v>1.4708097663644993E-11</v>
      </c>
      <c r="J87" s="47">
        <f t="shared" si="18"/>
        <v>1.4708097663644993E-11</v>
      </c>
      <c r="K87" s="47">
        <f t="shared" si="19"/>
        <v>1.4708097663644993E-11</v>
      </c>
      <c r="L87" s="47">
        <f t="shared" si="20"/>
        <v>1.3370997876040902E-11</v>
      </c>
      <c r="M87" s="47">
        <f t="shared" si="21"/>
        <v>8.9139985840272678E-12</v>
      </c>
      <c r="N87" s="48">
        <f t="shared" si="22"/>
        <v>8.1711653686916629E-12</v>
      </c>
    </row>
    <row r="88" spans="1:14" x14ac:dyDescent="0.2">
      <c r="A88" s="37">
        <f t="shared" si="23"/>
        <v>19.75</v>
      </c>
      <c r="B88" s="34">
        <f>IF(A88&gt;0,_xlfn.LOGNORM.DIST(A88,$B$2,$B$3,FALSE),0)</f>
        <v>3.0411333158100717E-32</v>
      </c>
      <c r="C88" s="34">
        <f>IF(A88&gt;0,_xlfn.LOGNORM.DIST(A88,$D$2,$D$3,FALSE),0)</f>
        <v>2.0993810605493797E-11</v>
      </c>
      <c r="D88" s="34">
        <f t="shared" si="13"/>
        <v>2.0993810605493797E-11</v>
      </c>
      <c r="E88" s="42">
        <f t="shared" si="15"/>
        <v>2.6242263256867242E-12</v>
      </c>
      <c r="G88" s="54">
        <v>0.82291666666666696</v>
      </c>
      <c r="H88" s="47">
        <f t="shared" si="16"/>
        <v>2.4930150094023877E-12</v>
      </c>
      <c r="I88" s="47">
        <f t="shared" si="17"/>
        <v>2.597984062429857E-12</v>
      </c>
      <c r="J88" s="47">
        <f t="shared" si="18"/>
        <v>2.597984062429857E-12</v>
      </c>
      <c r="K88" s="47">
        <f t="shared" si="19"/>
        <v>2.597984062429857E-12</v>
      </c>
      <c r="L88" s="47">
        <f t="shared" si="20"/>
        <v>2.361803693118052E-12</v>
      </c>
      <c r="M88" s="47">
        <f t="shared" si="21"/>
        <v>1.5745357954120345E-12</v>
      </c>
      <c r="N88" s="48">
        <f t="shared" si="22"/>
        <v>1.4433244791276984E-12</v>
      </c>
    </row>
    <row r="89" spans="1:14" x14ac:dyDescent="0.2">
      <c r="A89" s="37">
        <f t="shared" si="23"/>
        <v>20</v>
      </c>
      <c r="B89" s="34">
        <f t="shared" ref="B89:B104" si="24">IF(A89&gt;0,_xlfn.LOGNORM.DIST(A89,$B$2,$B$3,FALSE),0)</f>
        <v>6.6571846983472083E-33</v>
      </c>
      <c r="C89" s="34">
        <f t="shared" ref="C89:C104" si="25">IF(A89&gt;0,_xlfn.LOGNORM.DIST(A89,$D$2,$D$3,FALSE),0)</f>
        <v>3.5561534032195969E-12</v>
      </c>
      <c r="D89" s="34">
        <f t="shared" si="13"/>
        <v>3.5561534032195969E-12</v>
      </c>
      <c r="E89" s="42">
        <f t="shared" si="15"/>
        <v>4.4451917540244951E-13</v>
      </c>
      <c r="G89" s="54">
        <v>0.83333333333333304</v>
      </c>
      <c r="H89" s="47">
        <f t="shared" si="16"/>
        <v>4.2229321663232701E-13</v>
      </c>
      <c r="I89" s="47">
        <f t="shared" si="17"/>
        <v>4.4007398364842502E-13</v>
      </c>
      <c r="J89" s="47">
        <f t="shared" si="18"/>
        <v>4.4007398364842502E-13</v>
      </c>
      <c r="K89" s="47">
        <f t="shared" si="19"/>
        <v>4.4007398364842502E-13</v>
      </c>
      <c r="L89" s="47">
        <f t="shared" si="20"/>
        <v>4.0006725786220456E-13</v>
      </c>
      <c r="M89" s="47">
        <f t="shared" si="21"/>
        <v>2.6671150524146967E-13</v>
      </c>
      <c r="N89" s="48">
        <f t="shared" si="22"/>
        <v>2.4448554647134723E-13</v>
      </c>
    </row>
    <row r="90" spans="1:14" x14ac:dyDescent="0.2">
      <c r="A90" s="37">
        <f t="shared" si="23"/>
        <v>20.25</v>
      </c>
      <c r="B90" s="34">
        <f t="shared" si="24"/>
        <v>1.4621684639596907E-33</v>
      </c>
      <c r="C90" s="34">
        <f t="shared" si="25"/>
        <v>5.7872520648707788E-13</v>
      </c>
      <c r="D90" s="34">
        <f t="shared" si="13"/>
        <v>5.7872520648707788E-13</v>
      </c>
      <c r="E90" s="42">
        <f t="shared" si="15"/>
        <v>7.2340650810884722E-14</v>
      </c>
      <c r="G90" s="54">
        <v>0.84375</v>
      </c>
      <c r="H90" s="47">
        <f t="shared" si="16"/>
        <v>6.8723618270340488E-14</v>
      </c>
      <c r="I90" s="47">
        <f t="shared" si="17"/>
        <v>7.1617244302775878E-14</v>
      </c>
      <c r="J90" s="47">
        <f t="shared" si="18"/>
        <v>7.1617244302775878E-14</v>
      </c>
      <c r="K90" s="47">
        <f t="shared" si="19"/>
        <v>7.1617244302775878E-14</v>
      </c>
      <c r="L90" s="47">
        <f t="shared" si="20"/>
        <v>6.5106585729796254E-14</v>
      </c>
      <c r="M90" s="47">
        <f t="shared" si="21"/>
        <v>4.340439048653083E-14</v>
      </c>
      <c r="N90" s="48">
        <f t="shared" si="22"/>
        <v>3.9787357945986602E-14</v>
      </c>
    </row>
    <row r="91" spans="1:14" x14ac:dyDescent="0.2">
      <c r="A91" s="37">
        <f t="shared" si="23"/>
        <v>20.5</v>
      </c>
      <c r="B91" s="34">
        <f t="shared" si="24"/>
        <v>3.2225710353338613E-34</v>
      </c>
      <c r="C91" s="34">
        <f t="shared" si="25"/>
        <v>9.0640634282811802E-14</v>
      </c>
      <c r="D91" s="34">
        <f t="shared" si="13"/>
        <v>9.0640634282811802E-14</v>
      </c>
      <c r="E91" s="42">
        <f t="shared" si="15"/>
        <v>1.1330079285351472E-14</v>
      </c>
      <c r="G91" s="54">
        <v>0.85416666666666696</v>
      </c>
      <c r="H91" s="47">
        <f t="shared" si="16"/>
        <v>1.0763575321083898E-14</v>
      </c>
      <c r="I91" s="47">
        <f t="shared" si="17"/>
        <v>1.1216778492497958E-14</v>
      </c>
      <c r="J91" s="47">
        <f t="shared" si="18"/>
        <v>1.1216778492497958E-14</v>
      </c>
      <c r="K91" s="47">
        <f t="shared" si="19"/>
        <v>1.1216778492497958E-14</v>
      </c>
      <c r="L91" s="47">
        <f t="shared" si="20"/>
        <v>1.0197071356816325E-14</v>
      </c>
      <c r="M91" s="47">
        <f t="shared" si="21"/>
        <v>6.7980475712108831E-15</v>
      </c>
      <c r="N91" s="48">
        <f t="shared" si="22"/>
        <v>6.2315436069433104E-15</v>
      </c>
    </row>
    <row r="92" spans="1:14" x14ac:dyDescent="0.2">
      <c r="A92" s="37">
        <f t="shared" si="23"/>
        <v>20.75</v>
      </c>
      <c r="B92" s="34">
        <f t="shared" si="24"/>
        <v>7.1276901038583219E-35</v>
      </c>
      <c r="C92" s="34">
        <f t="shared" si="25"/>
        <v>1.3685246004486424E-14</v>
      </c>
      <c r="D92" s="34">
        <f t="shared" si="13"/>
        <v>1.3685246004486424E-14</v>
      </c>
      <c r="E92" s="42">
        <f t="shared" si="15"/>
        <v>1.7106557505608026E-15</v>
      </c>
      <c r="G92" s="54">
        <v>0.86458333333333304</v>
      </c>
      <c r="H92" s="47">
        <f t="shared" si="16"/>
        <v>1.6251229630327625E-15</v>
      </c>
      <c r="I92" s="47">
        <f t="shared" si="17"/>
        <v>1.6935491930551946E-15</v>
      </c>
      <c r="J92" s="47">
        <f t="shared" si="18"/>
        <v>1.6935491930551946E-15</v>
      </c>
      <c r="K92" s="47">
        <f t="shared" si="19"/>
        <v>1.6935491930551946E-15</v>
      </c>
      <c r="L92" s="47">
        <f t="shared" si="20"/>
        <v>1.5395901755047225E-15</v>
      </c>
      <c r="M92" s="47">
        <f t="shared" si="21"/>
        <v>1.0263934503364816E-15</v>
      </c>
      <c r="N92" s="48">
        <f t="shared" si="22"/>
        <v>9.408606628084416E-16</v>
      </c>
    </row>
    <row r="93" spans="1:14" x14ac:dyDescent="0.2">
      <c r="A93" s="37">
        <f t="shared" si="23"/>
        <v>21</v>
      </c>
      <c r="B93" s="34">
        <f t="shared" si="24"/>
        <v>1.5822527381144126E-35</v>
      </c>
      <c r="C93" s="34">
        <f t="shared" si="25"/>
        <v>1.9950256729456532E-15</v>
      </c>
      <c r="D93" s="34">
        <f t="shared" si="13"/>
        <v>1.9950256729456532E-15</v>
      </c>
      <c r="E93" s="42">
        <f t="shared" si="15"/>
        <v>2.4937820911820659E-16</v>
      </c>
      <c r="G93" s="54">
        <v>0.875</v>
      </c>
      <c r="H93" s="47">
        <f t="shared" si="16"/>
        <v>2.3690929866229624E-16</v>
      </c>
      <c r="I93" s="47">
        <f t="shared" si="17"/>
        <v>2.4688442702702451E-16</v>
      </c>
      <c r="J93" s="47">
        <f t="shared" si="18"/>
        <v>2.4688442702702451E-16</v>
      </c>
      <c r="K93" s="47">
        <f t="shared" si="19"/>
        <v>2.4688442702702451E-16</v>
      </c>
      <c r="L93" s="47">
        <f t="shared" si="20"/>
        <v>2.2444038820638593E-16</v>
      </c>
      <c r="M93" s="47">
        <f t="shared" si="21"/>
        <v>1.4962692547092394E-16</v>
      </c>
      <c r="N93" s="48">
        <f t="shared" si="22"/>
        <v>1.3715801501501363E-16</v>
      </c>
    </row>
    <row r="94" spans="1:14" x14ac:dyDescent="0.2">
      <c r="A94" s="37">
        <f t="shared" si="23"/>
        <v>21.25</v>
      </c>
      <c r="B94" s="34">
        <f t="shared" si="24"/>
        <v>3.5254937659774075E-36</v>
      </c>
      <c r="C94" s="34">
        <f t="shared" si="25"/>
        <v>2.8123285818382355E-16</v>
      </c>
      <c r="D94" s="34">
        <f t="shared" si="13"/>
        <v>2.8123285818382355E-16</v>
      </c>
      <c r="E94" s="42">
        <f t="shared" si="15"/>
        <v>3.5154107272977937E-17</v>
      </c>
      <c r="G94" s="54">
        <v>0.88541666666666696</v>
      </c>
      <c r="H94" s="47">
        <f t="shared" si="16"/>
        <v>3.3396401909329037E-17</v>
      </c>
      <c r="I94" s="47">
        <f t="shared" si="17"/>
        <v>3.4802566200248157E-17</v>
      </c>
      <c r="J94" s="47">
        <f t="shared" si="18"/>
        <v>3.4802566200248157E-17</v>
      </c>
      <c r="K94" s="47">
        <f t="shared" si="19"/>
        <v>3.4802566200248157E-17</v>
      </c>
      <c r="L94" s="47">
        <f t="shared" si="20"/>
        <v>3.1638696545680144E-17</v>
      </c>
      <c r="M94" s="47">
        <f t="shared" si="21"/>
        <v>2.1092464363786762E-17</v>
      </c>
      <c r="N94" s="48">
        <f t="shared" si="22"/>
        <v>1.9334759000137869E-17</v>
      </c>
    </row>
    <row r="95" spans="1:14" x14ac:dyDescent="0.2">
      <c r="A95" s="37">
        <f t="shared" si="23"/>
        <v>21.5</v>
      </c>
      <c r="B95" s="34">
        <f t="shared" si="24"/>
        <v>7.8852309499768127E-37</v>
      </c>
      <c r="C95" s="34">
        <f t="shared" si="25"/>
        <v>3.8391134797653886E-17</v>
      </c>
      <c r="D95" s="34">
        <f t="shared" si="13"/>
        <v>3.8391134797653886E-17</v>
      </c>
      <c r="E95" s="42">
        <f t="shared" si="15"/>
        <v>4.7988918497067349E-18</v>
      </c>
      <c r="G95" s="54">
        <v>0.89583333333333304</v>
      </c>
      <c r="H95" s="47">
        <f t="shared" si="16"/>
        <v>4.5589472572213977E-18</v>
      </c>
      <c r="I95" s="47">
        <f t="shared" si="17"/>
        <v>4.7509029312096673E-18</v>
      </c>
      <c r="J95" s="47">
        <f t="shared" si="18"/>
        <v>4.7509029312096673E-18</v>
      </c>
      <c r="K95" s="47">
        <f t="shared" si="19"/>
        <v>4.7509029312096673E-18</v>
      </c>
      <c r="L95" s="47">
        <f t="shared" si="20"/>
        <v>4.3190026647360612E-18</v>
      </c>
      <c r="M95" s="47">
        <f t="shared" si="21"/>
        <v>2.8793351098240408E-18</v>
      </c>
      <c r="N95" s="48">
        <f t="shared" si="22"/>
        <v>2.6393905173387043E-18</v>
      </c>
    </row>
    <row r="96" spans="1:14" x14ac:dyDescent="0.2">
      <c r="A96" s="37">
        <f t="shared" si="23"/>
        <v>21.75</v>
      </c>
      <c r="B96" s="34">
        <f t="shared" si="24"/>
        <v>1.7704749564099128E-37</v>
      </c>
      <c r="C96" s="34">
        <f t="shared" si="25"/>
        <v>5.0820687882988421E-18</v>
      </c>
      <c r="D96" s="34">
        <f t="shared" si="13"/>
        <v>5.0820687882988421E-18</v>
      </c>
      <c r="E96" s="42">
        <f t="shared" si="15"/>
        <v>6.3525859853735517E-19</v>
      </c>
      <c r="G96" s="54">
        <v>0.90625</v>
      </c>
      <c r="H96" s="47">
        <f t="shared" si="16"/>
        <v>6.0349566861048738E-19</v>
      </c>
      <c r="I96" s="47">
        <f t="shared" si="17"/>
        <v>6.2890601255198161E-19</v>
      </c>
      <c r="J96" s="47">
        <f t="shared" si="18"/>
        <v>6.2890601255198161E-19</v>
      </c>
      <c r="K96" s="47">
        <f t="shared" si="19"/>
        <v>6.2890601255198161E-19</v>
      </c>
      <c r="L96" s="47">
        <f t="shared" si="20"/>
        <v>5.7173273868361968E-19</v>
      </c>
      <c r="M96" s="47">
        <f t="shared" si="21"/>
        <v>3.8115515912241307E-19</v>
      </c>
      <c r="N96" s="48">
        <f t="shared" si="22"/>
        <v>3.4939222919554538E-19</v>
      </c>
    </row>
    <row r="97" spans="1:14" x14ac:dyDescent="0.2">
      <c r="A97" s="37">
        <f t="shared" si="23"/>
        <v>22</v>
      </c>
      <c r="B97" s="34">
        <f t="shared" si="24"/>
        <v>3.9909288475554297E-38</v>
      </c>
      <c r="C97" s="34">
        <f t="shared" si="25"/>
        <v>6.5322904307004659E-19</v>
      </c>
      <c r="D97" s="34">
        <f t="shared" si="13"/>
        <v>6.5322904307004659E-19</v>
      </c>
      <c r="E97" s="42">
        <f t="shared" si="15"/>
        <v>8.1653630383755799E-20</v>
      </c>
      <c r="G97" s="54">
        <v>0.91666666666666696</v>
      </c>
      <c r="H97" s="47">
        <f t="shared" si="16"/>
        <v>7.7570948864568001E-20</v>
      </c>
      <c r="I97" s="47">
        <f t="shared" si="17"/>
        <v>8.0837094079918244E-20</v>
      </c>
      <c r="J97" s="47">
        <f t="shared" si="18"/>
        <v>8.0837094079918244E-20</v>
      </c>
      <c r="K97" s="47">
        <f t="shared" si="19"/>
        <v>8.0837094079918244E-20</v>
      </c>
      <c r="L97" s="47">
        <f t="shared" si="20"/>
        <v>7.3488267345380216E-20</v>
      </c>
      <c r="M97" s="47">
        <f t="shared" si="21"/>
        <v>4.8992178230253477E-20</v>
      </c>
      <c r="N97" s="48">
        <f t="shared" si="22"/>
        <v>4.4909496711065691E-20</v>
      </c>
    </row>
    <row r="98" spans="1:14" x14ac:dyDescent="0.2">
      <c r="A98" s="37">
        <f t="shared" si="23"/>
        <v>22.25</v>
      </c>
      <c r="B98" s="34">
        <f t="shared" si="24"/>
        <v>9.0321781503827447E-39</v>
      </c>
      <c r="C98" s="34">
        <f t="shared" si="25"/>
        <v>8.1630251786474094E-20</v>
      </c>
      <c r="D98" s="34">
        <f t="shared" si="13"/>
        <v>8.1630251786474094E-20</v>
      </c>
      <c r="E98" s="42">
        <f t="shared" si="15"/>
        <v>1.0203781473309259E-20</v>
      </c>
      <c r="G98" s="54">
        <v>0.92708333333333304</v>
      </c>
      <c r="H98" s="47">
        <f t="shared" si="16"/>
        <v>9.6935923996437958E-21</v>
      </c>
      <c r="I98" s="47">
        <f t="shared" si="17"/>
        <v>1.0101743658576166E-20</v>
      </c>
      <c r="J98" s="47">
        <f t="shared" si="18"/>
        <v>1.0101743658576166E-20</v>
      </c>
      <c r="K98" s="47">
        <f t="shared" si="19"/>
        <v>1.0101743658576166E-20</v>
      </c>
      <c r="L98" s="47">
        <f t="shared" si="20"/>
        <v>9.183403325978333E-21</v>
      </c>
      <c r="M98" s="47">
        <f t="shared" si="21"/>
        <v>6.1222688839855551E-21</v>
      </c>
      <c r="N98" s="48">
        <f t="shared" si="22"/>
        <v>5.612079810320093E-21</v>
      </c>
    </row>
    <row r="99" spans="1:14" x14ac:dyDescent="0.2">
      <c r="A99" s="37">
        <f t="shared" si="23"/>
        <v>22.5</v>
      </c>
      <c r="B99" s="34">
        <f t="shared" si="24"/>
        <v>2.0524308085877049E-39</v>
      </c>
      <c r="C99" s="34">
        <f t="shared" si="25"/>
        <v>9.9293051791234797E-21</v>
      </c>
      <c r="D99" s="34">
        <f t="shared" si="13"/>
        <v>9.9293051791234797E-21</v>
      </c>
      <c r="E99" s="42">
        <f t="shared" si="15"/>
        <v>1.2411631473904348E-21</v>
      </c>
      <c r="G99" s="54">
        <v>0.9375</v>
      </c>
      <c r="H99" s="47">
        <f t="shared" si="16"/>
        <v>1.1791049900209131E-21</v>
      </c>
      <c r="I99" s="47">
        <f t="shared" si="17"/>
        <v>1.2287515159165305E-21</v>
      </c>
      <c r="J99" s="47">
        <f t="shared" si="18"/>
        <v>1.2287515159165305E-21</v>
      </c>
      <c r="K99" s="47">
        <f t="shared" si="19"/>
        <v>1.2287515159165305E-21</v>
      </c>
      <c r="L99" s="47">
        <f t="shared" si="20"/>
        <v>1.1170468326513914E-21</v>
      </c>
      <c r="M99" s="47">
        <f t="shared" si="21"/>
        <v>7.4469788843426081E-22</v>
      </c>
      <c r="N99" s="48">
        <f t="shared" si="22"/>
        <v>6.8263973106473919E-22</v>
      </c>
    </row>
    <row r="100" spans="1:14" x14ac:dyDescent="0.2">
      <c r="A100" s="37">
        <f t="shared" si="23"/>
        <v>22.75</v>
      </c>
      <c r="B100" s="34">
        <f t="shared" si="24"/>
        <v>4.6829891473958307E-40</v>
      </c>
      <c r="C100" s="34">
        <f t="shared" si="25"/>
        <v>1.1769751449950332E-21</v>
      </c>
      <c r="D100" s="34">
        <f t="shared" si="13"/>
        <v>1.1769751449950332E-21</v>
      </c>
      <c r="E100" s="42">
        <f t="shared" si="15"/>
        <v>1.4712189312437913E-22</v>
      </c>
      <c r="G100" s="54">
        <v>0.94791666666666696</v>
      </c>
      <c r="H100" s="47">
        <f t="shared" si="16"/>
        <v>1.3976579846816016E-22</v>
      </c>
      <c r="I100" s="47">
        <f t="shared" si="17"/>
        <v>1.4565067419313534E-22</v>
      </c>
      <c r="J100" s="47">
        <f t="shared" si="18"/>
        <v>1.4565067419313534E-22</v>
      </c>
      <c r="K100" s="47">
        <f t="shared" si="19"/>
        <v>1.4565067419313534E-22</v>
      </c>
      <c r="L100" s="47">
        <f t="shared" si="20"/>
        <v>1.3240970381194122E-22</v>
      </c>
      <c r="M100" s="47">
        <f t="shared" si="21"/>
        <v>8.8273135874627479E-23</v>
      </c>
      <c r="N100" s="48">
        <f t="shared" si="22"/>
        <v>8.0917041218408527E-23</v>
      </c>
    </row>
    <row r="101" spans="1:14" x14ac:dyDescent="0.2">
      <c r="A101" s="37">
        <f t="shared" si="23"/>
        <v>23</v>
      </c>
      <c r="B101" s="34">
        <f t="shared" si="24"/>
        <v>1.072940048208457E-40</v>
      </c>
      <c r="C101" s="34">
        <f t="shared" si="25"/>
        <v>1.3610482183805992E-22</v>
      </c>
      <c r="D101" s="34">
        <f t="shared" si="13"/>
        <v>1.3610482183805992E-22</v>
      </c>
      <c r="E101" s="42">
        <f t="shared" si="15"/>
        <v>1.7013102729757487E-23</v>
      </c>
      <c r="G101" s="54">
        <v>0.95833333333333304</v>
      </c>
      <c r="H101" s="47">
        <f t="shared" si="16"/>
        <v>1.6162447593269612E-23</v>
      </c>
      <c r="I101" s="47">
        <f t="shared" si="17"/>
        <v>1.6842971702459911E-23</v>
      </c>
      <c r="J101" s="47">
        <f t="shared" si="18"/>
        <v>1.6842971702459911E-23</v>
      </c>
      <c r="K101" s="47">
        <f t="shared" si="19"/>
        <v>1.6842971702459911E-23</v>
      </c>
      <c r="L101" s="47">
        <f t="shared" si="20"/>
        <v>1.5311792456781737E-23</v>
      </c>
      <c r="M101" s="47">
        <f t="shared" si="21"/>
        <v>1.0207861637854492E-23</v>
      </c>
      <c r="N101" s="48">
        <f t="shared" si="22"/>
        <v>9.3572065013666183E-24</v>
      </c>
    </row>
    <row r="102" spans="1:14" x14ac:dyDescent="0.2">
      <c r="A102" s="37">
        <f t="shared" si="23"/>
        <v>23.25</v>
      </c>
      <c r="B102" s="34">
        <f t="shared" si="24"/>
        <v>2.4685541361840564E-41</v>
      </c>
      <c r="C102" s="34">
        <f t="shared" si="25"/>
        <v>1.5370717350359475E-23</v>
      </c>
      <c r="D102" s="34">
        <f t="shared" si="13"/>
        <v>1.5370717350359475E-23</v>
      </c>
      <c r="E102" s="42">
        <f t="shared" si="15"/>
        <v>1.921339668794934E-24</v>
      </c>
      <c r="G102" s="54">
        <v>0.96875</v>
      </c>
      <c r="H102" s="47">
        <f t="shared" si="16"/>
        <v>1.8252726853551873E-24</v>
      </c>
      <c r="I102" s="47">
        <f t="shared" si="17"/>
        <v>1.9021262721069845E-24</v>
      </c>
      <c r="J102" s="47">
        <f t="shared" si="18"/>
        <v>1.9021262721069845E-24</v>
      </c>
      <c r="K102" s="47">
        <f t="shared" si="19"/>
        <v>1.9021262721069845E-24</v>
      </c>
      <c r="L102" s="47">
        <f t="shared" si="20"/>
        <v>1.7292057019154405E-24</v>
      </c>
      <c r="M102" s="47">
        <f t="shared" si="21"/>
        <v>1.1528038012769603E-24</v>
      </c>
      <c r="N102" s="48">
        <f t="shared" si="22"/>
        <v>1.0567368178372138E-24</v>
      </c>
    </row>
    <row r="103" spans="1:14" x14ac:dyDescent="0.2">
      <c r="A103" s="37">
        <f t="shared" si="23"/>
        <v>23.5</v>
      </c>
      <c r="B103" s="34">
        <f t="shared" si="24"/>
        <v>5.7034839312724353E-42</v>
      </c>
      <c r="C103" s="34">
        <f t="shared" si="25"/>
        <v>1.6969395048399596E-24</v>
      </c>
      <c r="D103" s="34">
        <f t="shared" si="13"/>
        <v>1.6969395048399596E-24</v>
      </c>
      <c r="E103" s="42">
        <f t="shared" si="15"/>
        <v>2.121174381049949E-25</v>
      </c>
      <c r="G103" s="54">
        <v>0.97916666666666696</v>
      </c>
      <c r="H103" s="47">
        <f t="shared" si="16"/>
        <v>2.0151156619974514E-25</v>
      </c>
      <c r="I103" s="47">
        <f t="shared" si="17"/>
        <v>2.0999626372394495E-25</v>
      </c>
      <c r="J103" s="47">
        <f t="shared" si="18"/>
        <v>2.0999626372394495E-25</v>
      </c>
      <c r="K103" s="47">
        <f t="shared" si="19"/>
        <v>2.0999626372394495E-25</v>
      </c>
      <c r="L103" s="47">
        <f t="shared" si="20"/>
        <v>1.9090569429449542E-25</v>
      </c>
      <c r="M103" s="47">
        <f t="shared" si="21"/>
        <v>1.2727046286299693E-25</v>
      </c>
      <c r="N103" s="48">
        <f t="shared" si="22"/>
        <v>1.1666459095774721E-25</v>
      </c>
    </row>
    <row r="104" spans="1:14" ht="17" thickBot="1" x14ac:dyDescent="0.25">
      <c r="A104" s="37">
        <f t="shared" si="23"/>
        <v>23.75</v>
      </c>
      <c r="B104" s="34">
        <f t="shared" si="24"/>
        <v>1.3233721542890903E-42</v>
      </c>
      <c r="C104" s="34">
        <f t="shared" si="25"/>
        <v>1.8331960973163782E-25</v>
      </c>
      <c r="D104" s="34">
        <f t="shared" si="13"/>
        <v>1.8331960973163782E-25</v>
      </c>
      <c r="E104" s="42">
        <f t="shared" si="15"/>
        <v>2.2914951216454722E-26</v>
      </c>
      <c r="G104" s="54">
        <v>0.98958333333333304</v>
      </c>
      <c r="H104" s="47">
        <f t="shared" si="16"/>
        <v>2.1769203655631983E-26</v>
      </c>
      <c r="I104" s="47">
        <f t="shared" si="17"/>
        <v>2.2685801704290173E-26</v>
      </c>
      <c r="J104" s="47">
        <f t="shared" si="18"/>
        <v>2.2685801704290173E-26</v>
      </c>
      <c r="K104" s="47">
        <f t="shared" si="19"/>
        <v>2.2685801704290173E-26</v>
      </c>
      <c r="L104" s="47">
        <f t="shared" si="20"/>
        <v>2.0623456094809251E-26</v>
      </c>
      <c r="M104" s="47">
        <f t="shared" si="21"/>
        <v>1.3748970729872832E-26</v>
      </c>
      <c r="N104" s="48">
        <f t="shared" si="22"/>
        <v>1.2603223169050098E-26</v>
      </c>
    </row>
    <row r="105" spans="1:14" ht="17" thickBot="1" x14ac:dyDescent="0.25">
      <c r="A105" s="38" t="s">
        <v>41</v>
      </c>
      <c r="B105" s="43">
        <f>SUM(B9:B104)</f>
        <v>4</v>
      </c>
      <c r="C105" s="43">
        <f t="shared" ref="C105:E105" si="26">SUM(C9:C104)</f>
        <v>4</v>
      </c>
      <c r="D105" s="43">
        <f t="shared" si="26"/>
        <v>8.0000000000000018</v>
      </c>
      <c r="E105" s="44">
        <f t="shared" si="26"/>
        <v>1</v>
      </c>
      <c r="F105" s="34"/>
      <c r="G105" s="55" t="s">
        <v>41</v>
      </c>
      <c r="H105" s="49">
        <f t="shared" ref="H105:N105" si="27">SUM(H9:H104)</f>
        <v>0.94999999999999984</v>
      </c>
      <c r="I105" s="49">
        <f t="shared" si="27"/>
        <v>0.98999999999999966</v>
      </c>
      <c r="J105" s="49">
        <f t="shared" si="27"/>
        <v>0.98999999999999966</v>
      </c>
      <c r="K105" s="49">
        <f t="shared" si="27"/>
        <v>0.98999999999999966</v>
      </c>
      <c r="L105" s="49">
        <f t="shared" si="27"/>
        <v>0.89999999999999958</v>
      </c>
      <c r="M105" s="49">
        <f t="shared" si="27"/>
        <v>0.59999999999999942</v>
      </c>
      <c r="N105" s="50">
        <f t="shared" si="27"/>
        <v>0.54999999999999971</v>
      </c>
    </row>
  </sheetData>
  <mergeCells count="1">
    <mergeCell ref="A1:E1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BA42-ED46-0649-A669-BBDCA23C4A7B}">
  <dimension ref="A1:O105"/>
  <sheetViews>
    <sheetView topLeftCell="E10" workbookViewId="0">
      <selection activeCell="D4" sqref="D4"/>
    </sheetView>
  </sheetViews>
  <sheetFormatPr baseColWidth="10" defaultRowHeight="16" x14ac:dyDescent="0.2"/>
  <cols>
    <col min="5" max="5" width="11.6640625" customWidth="1"/>
  </cols>
  <sheetData>
    <row r="1" spans="1:15" x14ac:dyDescent="0.2">
      <c r="A1" s="16" t="s">
        <v>5</v>
      </c>
      <c r="B1" s="17"/>
      <c r="C1" s="17"/>
      <c r="D1" s="17"/>
      <c r="E1" s="17"/>
      <c r="I1" t="s">
        <v>4</v>
      </c>
    </row>
    <row r="2" spans="1:15" x14ac:dyDescent="0.2">
      <c r="A2" t="s">
        <v>37</v>
      </c>
      <c r="B2" s="2">
        <f>LN(K2)</f>
        <v>1.791759469228055</v>
      </c>
      <c r="C2" t="s">
        <v>39</v>
      </c>
      <c r="D2" s="3">
        <f>LN(K3)</f>
        <v>2.6390573296152584</v>
      </c>
      <c r="E2" t="s">
        <v>46</v>
      </c>
      <c r="F2">
        <f>LN(K4)</f>
        <v>3.0910424533583161</v>
      </c>
      <c r="G2" t="s">
        <v>30</v>
      </c>
      <c r="H2" s="2">
        <v>0.25</v>
      </c>
      <c r="J2" t="s">
        <v>42</v>
      </c>
      <c r="K2">
        <v>6</v>
      </c>
    </row>
    <row r="3" spans="1:15" x14ac:dyDescent="0.2">
      <c r="A3" t="s">
        <v>38</v>
      </c>
      <c r="B3" s="2">
        <v>0.1</v>
      </c>
      <c r="C3" t="s">
        <v>40</v>
      </c>
      <c r="D3" s="2">
        <v>7.0000000000000007E-2</v>
      </c>
      <c r="E3" t="s">
        <v>47</v>
      </c>
      <c r="F3">
        <v>0.03</v>
      </c>
      <c r="H3" s="2"/>
      <c r="J3" t="s">
        <v>43</v>
      </c>
      <c r="K3">
        <v>14</v>
      </c>
    </row>
    <row r="4" spans="1:15" x14ac:dyDescent="0.2">
      <c r="A4" t="s">
        <v>3</v>
      </c>
      <c r="B4" s="2">
        <v>1</v>
      </c>
      <c r="C4" t="s">
        <v>2</v>
      </c>
      <c r="D4" s="2">
        <v>0.9</v>
      </c>
      <c r="E4" t="s">
        <v>45</v>
      </c>
      <c r="F4">
        <v>0.7</v>
      </c>
      <c r="G4" t="s">
        <v>31</v>
      </c>
      <c r="H4" s="2">
        <v>23.45</v>
      </c>
      <c r="J4" t="s">
        <v>44</v>
      </c>
      <c r="K4">
        <v>22</v>
      </c>
    </row>
    <row r="5" spans="1:15" x14ac:dyDescent="0.2">
      <c r="A5" t="s">
        <v>1</v>
      </c>
      <c r="B5" s="2">
        <f>B4+D4+F4</f>
        <v>2.5999999999999996</v>
      </c>
      <c r="F5" s="2"/>
    </row>
    <row r="6" spans="1:15" ht="17" thickBot="1" x14ac:dyDescent="0.25"/>
    <row r="7" spans="1:15" ht="17" thickBot="1" x14ac:dyDescent="0.25">
      <c r="H7" s="51" t="s">
        <v>36</v>
      </c>
      <c r="I7" s="32">
        <v>0.7</v>
      </c>
      <c r="J7" s="32">
        <v>0.9</v>
      </c>
      <c r="K7" s="32">
        <v>0.95</v>
      </c>
      <c r="L7" s="32">
        <v>0.9</v>
      </c>
      <c r="M7" s="32">
        <v>0.6</v>
      </c>
      <c r="N7" s="32">
        <v>0</v>
      </c>
      <c r="O7" s="33">
        <v>0</v>
      </c>
    </row>
    <row r="8" spans="1:15" ht="18" thickTop="1" thickBot="1" x14ac:dyDescent="0.25">
      <c r="A8" s="38" t="s">
        <v>0</v>
      </c>
      <c r="B8" s="39" t="s">
        <v>34</v>
      </c>
      <c r="C8" s="39" t="s">
        <v>35</v>
      </c>
      <c r="D8" s="39" t="s">
        <v>48</v>
      </c>
      <c r="E8" s="39" t="s">
        <v>32</v>
      </c>
      <c r="F8" s="40" t="s">
        <v>33</v>
      </c>
      <c r="H8" s="52" t="s">
        <v>0</v>
      </c>
      <c r="I8" s="30" t="s">
        <v>9</v>
      </c>
      <c r="J8" s="30" t="s">
        <v>10</v>
      </c>
      <c r="K8" s="30" t="s">
        <v>11</v>
      </c>
      <c r="L8" s="30" t="s">
        <v>12</v>
      </c>
      <c r="M8" s="30" t="s">
        <v>13</v>
      </c>
      <c r="N8" s="30" t="s">
        <v>14</v>
      </c>
      <c r="O8" s="31" t="s">
        <v>15</v>
      </c>
    </row>
    <row r="9" spans="1:15" ht="17" thickBot="1" x14ac:dyDescent="0.25">
      <c r="A9" s="35">
        <v>0</v>
      </c>
      <c r="B9" s="36">
        <f>IF(A9&gt;0,_xlfn.LOGNORM.DIST(A9,$B$2,$B$3,FALSE),0)</f>
        <v>0</v>
      </c>
      <c r="C9" s="36">
        <f>IF(A9&gt;0,_xlfn.LOGNORM.DIST(A9,$D$2,$D$3,FALSE),0)</f>
        <v>0</v>
      </c>
      <c r="D9" s="36">
        <f>IF(A9&gt;0,_xlfn.LOGNORM.DIST(A9,$F$2,$F$3,FALSE),0)</f>
        <v>0</v>
      </c>
      <c r="E9" s="36">
        <f>$B$4*B9 + $D$4*C9 +$F$4*D9</f>
        <v>0</v>
      </c>
      <c r="F9" s="41">
        <f>IF($E$105&gt;0, E9/$E$105, 0)</f>
        <v>0</v>
      </c>
      <c r="H9" s="53">
        <v>0</v>
      </c>
      <c r="I9" s="45">
        <f>F9*$I$7</f>
        <v>0</v>
      </c>
      <c r="J9" s="45">
        <f>F9*$J$7</f>
        <v>0</v>
      </c>
      <c r="K9" s="45">
        <f>F9*$K$7</f>
        <v>0</v>
      </c>
      <c r="L9" s="45">
        <f>F9*$L$7</f>
        <v>0</v>
      </c>
      <c r="M9" s="45">
        <f>F9*$M$7</f>
        <v>0</v>
      </c>
      <c r="N9" s="45">
        <f>F9*$N$7</f>
        <v>0</v>
      </c>
      <c r="O9" s="46">
        <f>F9*$O$7</f>
        <v>0</v>
      </c>
    </row>
    <row r="10" spans="1:15" ht="17" thickBot="1" x14ac:dyDescent="0.25">
      <c r="A10" s="37">
        <f>A9+$H$2</f>
        <v>0.25</v>
      </c>
      <c r="B10" s="34">
        <f t="shared" ref="B10:B73" si="0">IF(A10&gt;0,_xlfn.LOGNORM.DIST(A10,$B$2,$B$3,FALSE),0)</f>
        <v>7.6504835664629357E-219</v>
      </c>
      <c r="C10" s="34">
        <f t="shared" ref="C10:C64" si="1">IF(A10&gt;0,_xlfn.LOGNORM.DIST(A10,$D$2,$D$3,FALSE),0)</f>
        <v>0</v>
      </c>
      <c r="D10" s="36">
        <f t="shared" ref="D10:D73" si="2">IF(A10&gt;0,_xlfn.LOGNORM.DIST(A10,$F$2,$F$3,FALSE),0)</f>
        <v>0</v>
      </c>
      <c r="E10" s="34">
        <f t="shared" ref="E10:E73" si="3">$B$4*B10 + $D$4*C10 +$F$4*D10</f>
        <v>7.6504835664629357E-219</v>
      </c>
      <c r="F10" s="42">
        <f>IF($E$105&gt;0, E10/$E$105, 0)</f>
        <v>7.3623171831571428E-220</v>
      </c>
      <c r="H10" s="54">
        <v>1.0416666666666666E-2</v>
      </c>
      <c r="I10" s="47">
        <f>F10*$I$7</f>
        <v>5.1536220282099998E-220</v>
      </c>
      <c r="J10" s="47">
        <f>F10*$J$7</f>
        <v>6.626085464841429E-220</v>
      </c>
      <c r="K10" s="47">
        <f>F10*$K$7</f>
        <v>6.9942013239992855E-220</v>
      </c>
      <c r="L10" s="47">
        <f>F10*$L$7</f>
        <v>6.626085464841429E-220</v>
      </c>
      <c r="M10" s="47">
        <f>F10*$M$7</f>
        <v>4.4173903098942852E-220</v>
      </c>
      <c r="N10" s="47">
        <f>F10*$N$7</f>
        <v>0</v>
      </c>
      <c r="O10" s="48">
        <f>F10*$O$7</f>
        <v>0</v>
      </c>
    </row>
    <row r="11" spans="1:15" ht="17" thickBot="1" x14ac:dyDescent="0.25">
      <c r="A11" s="37">
        <f>A10+$H$2</f>
        <v>0.5</v>
      </c>
      <c r="B11" s="34">
        <f t="shared" si="0"/>
        <v>6.5872982915513429E-134</v>
      </c>
      <c r="C11" s="34">
        <f t="shared" si="1"/>
        <v>0</v>
      </c>
      <c r="D11" s="36">
        <f t="shared" si="2"/>
        <v>0</v>
      </c>
      <c r="E11" s="34">
        <f t="shared" si="3"/>
        <v>6.5872982915513429E-134</v>
      </c>
      <c r="F11" s="42">
        <f>IF($E$105&gt;0, E11/$E$105, 0)</f>
        <v>6.3391782991427594E-135</v>
      </c>
      <c r="H11" s="54">
        <v>2.0833333333333301E-2</v>
      </c>
      <c r="I11" s="47">
        <f>F11*$I$7</f>
        <v>4.4374248093999311E-135</v>
      </c>
      <c r="J11" s="47">
        <f>F11*$J$7</f>
        <v>5.7052604692284831E-135</v>
      </c>
      <c r="K11" s="47">
        <f>F11*$K$7</f>
        <v>6.0222193841856213E-135</v>
      </c>
      <c r="L11" s="47">
        <f>F11*$L$7</f>
        <v>5.7052604692284831E-135</v>
      </c>
      <c r="M11" s="47">
        <f>F11*$M$7</f>
        <v>3.8035069794856554E-135</v>
      </c>
      <c r="N11" s="47">
        <f>F11*$N$7</f>
        <v>0</v>
      </c>
      <c r="O11" s="48">
        <f>F11*$O$7</f>
        <v>0</v>
      </c>
    </row>
    <row r="12" spans="1:15" ht="17" thickBot="1" x14ac:dyDescent="0.25">
      <c r="A12" s="37">
        <f>A11+$H$2</f>
        <v>0.75</v>
      </c>
      <c r="B12" s="34">
        <f t="shared" si="0"/>
        <v>6.756270999035283E-94</v>
      </c>
      <c r="C12" s="34">
        <f t="shared" si="1"/>
        <v>0</v>
      </c>
      <c r="D12" s="36">
        <f t="shared" si="2"/>
        <v>0</v>
      </c>
      <c r="E12" s="34">
        <f t="shared" si="3"/>
        <v>6.756270999035283E-94</v>
      </c>
      <c r="F12" s="42">
        <f>IF($E$105&gt;0, E12/$E$105, 0)</f>
        <v>6.5017864084192752E-95</v>
      </c>
      <c r="H12" s="54">
        <v>3.125E-2</v>
      </c>
      <c r="I12" s="47">
        <f>F12*$I$7</f>
        <v>4.5512504858934922E-95</v>
      </c>
      <c r="J12" s="47">
        <f>F12*$J$7</f>
        <v>5.8516077675773475E-95</v>
      </c>
      <c r="K12" s="47">
        <f>F12*$K$7</f>
        <v>6.1766970879983113E-95</v>
      </c>
      <c r="L12" s="47">
        <f>F12*$L$7</f>
        <v>5.8516077675773475E-95</v>
      </c>
      <c r="M12" s="47">
        <f>F12*$M$7</f>
        <v>3.9010718450515652E-95</v>
      </c>
      <c r="N12" s="47">
        <f>F12*$N$7</f>
        <v>0</v>
      </c>
      <c r="O12" s="48">
        <f>F12*$O$7</f>
        <v>0</v>
      </c>
    </row>
    <row r="13" spans="1:15" ht="17" thickBot="1" x14ac:dyDescent="0.25">
      <c r="A13" s="37">
        <f>A12+$H$2</f>
        <v>1</v>
      </c>
      <c r="B13" s="34">
        <f t="shared" si="0"/>
        <v>7.7253203482453487E-70</v>
      </c>
      <c r="C13" s="34">
        <f t="shared" si="1"/>
        <v>0</v>
      </c>
      <c r="D13" s="36">
        <f t="shared" si="2"/>
        <v>0</v>
      </c>
      <c r="E13" s="34">
        <f t="shared" si="3"/>
        <v>7.7253203482453487E-70</v>
      </c>
      <c r="F13" s="42">
        <f>IF($E$105&gt;0, E13/$E$105, 0)</f>
        <v>7.4343351307368377E-71</v>
      </c>
      <c r="H13" s="54">
        <v>4.1666666666666699E-2</v>
      </c>
      <c r="I13" s="47">
        <f>F13*$I$7</f>
        <v>5.2040345915157862E-71</v>
      </c>
      <c r="J13" s="47">
        <f>F13*$J$7</f>
        <v>6.6909016176631544E-71</v>
      </c>
      <c r="K13" s="47">
        <f>F13*$K$7</f>
        <v>7.0626183741999952E-71</v>
      </c>
      <c r="L13" s="47">
        <f>F13*$L$7</f>
        <v>6.6909016176631544E-71</v>
      </c>
      <c r="M13" s="47">
        <f>F13*$M$7</f>
        <v>4.4606010784421021E-71</v>
      </c>
      <c r="N13" s="47">
        <f>F13*$N$7</f>
        <v>0</v>
      </c>
      <c r="O13" s="48">
        <f>F13*$O$7</f>
        <v>0</v>
      </c>
    </row>
    <row r="14" spans="1:15" ht="17" thickBot="1" x14ac:dyDescent="0.25">
      <c r="A14" s="37">
        <f>A13+$H$2</f>
        <v>1.25</v>
      </c>
      <c r="B14" s="34">
        <f t="shared" si="0"/>
        <v>1.1849706904987447E-53</v>
      </c>
      <c r="C14" s="34">
        <f t="shared" si="1"/>
        <v>1.0087223994390014E-258</v>
      </c>
      <c r="D14" s="36">
        <f t="shared" si="2"/>
        <v>0</v>
      </c>
      <c r="E14" s="34">
        <f t="shared" si="3"/>
        <v>1.1849706904987447E-53</v>
      </c>
      <c r="F14" s="42">
        <f>IF($E$105&gt;0, E14/$E$105, 0)</f>
        <v>1.1403370780953051E-54</v>
      </c>
      <c r="H14" s="54">
        <v>5.2083333333333301E-2</v>
      </c>
      <c r="I14" s="47">
        <f>F14*$I$7</f>
        <v>7.982359546667135E-55</v>
      </c>
      <c r="J14" s="47">
        <f>F14*$J$7</f>
        <v>1.0263033702857746E-54</v>
      </c>
      <c r="K14" s="47">
        <f>F14*$K$7</f>
        <v>1.0833202241905399E-54</v>
      </c>
      <c r="L14" s="47">
        <f>F14*$L$7</f>
        <v>1.0263033702857746E-54</v>
      </c>
      <c r="M14" s="47">
        <f>F14*$M$7</f>
        <v>6.8420224685718311E-55</v>
      </c>
      <c r="N14" s="47">
        <f>F14*$N$7</f>
        <v>0</v>
      </c>
      <c r="O14" s="48">
        <f>F14*$O$7</f>
        <v>0</v>
      </c>
    </row>
    <row r="15" spans="1:15" ht="17" thickBot="1" x14ac:dyDescent="0.25">
      <c r="A15" s="37">
        <f>A14+$H$2</f>
        <v>1.5</v>
      </c>
      <c r="B15" s="34">
        <f t="shared" si="0"/>
        <v>4.9340126097596263E-42</v>
      </c>
      <c r="C15" s="34">
        <f t="shared" si="1"/>
        <v>3.0995048031590682E-221</v>
      </c>
      <c r="D15" s="36">
        <f t="shared" si="2"/>
        <v>0</v>
      </c>
      <c r="E15" s="34">
        <f t="shared" si="3"/>
        <v>4.9340126097596263E-42</v>
      </c>
      <c r="F15" s="42">
        <f>IF($E$105&gt;0, E15/$E$105, 0)</f>
        <v>4.7481659823421964E-43</v>
      </c>
      <c r="H15" s="54">
        <v>6.25E-2</v>
      </c>
      <c r="I15" s="47">
        <f>F15*$I$7</f>
        <v>3.3237161876395373E-43</v>
      </c>
      <c r="J15" s="47">
        <f>F15*$J$7</f>
        <v>4.2733493841079769E-43</v>
      </c>
      <c r="K15" s="47">
        <f>F15*$K$7</f>
        <v>4.5107576832250866E-43</v>
      </c>
      <c r="L15" s="47">
        <f>F15*$L$7</f>
        <v>4.2733493841079769E-43</v>
      </c>
      <c r="M15" s="47">
        <f>F15*$M$7</f>
        <v>2.8488995894053178E-43</v>
      </c>
      <c r="N15" s="47">
        <f>F15*$N$7</f>
        <v>0</v>
      </c>
      <c r="O15" s="48">
        <f>F15*$O$7</f>
        <v>0</v>
      </c>
    </row>
    <row r="16" spans="1:15" ht="17" thickBot="1" x14ac:dyDescent="0.25">
      <c r="A16" s="37">
        <f>A15+$H$2</f>
        <v>1.75</v>
      </c>
      <c r="B16" s="34">
        <f t="shared" si="0"/>
        <v>2.4606764041585969E-33</v>
      </c>
      <c r="C16" s="34">
        <f t="shared" si="1"/>
        <v>7.7267153495256497E-192</v>
      </c>
      <c r="D16" s="36">
        <f t="shared" si="2"/>
        <v>0</v>
      </c>
      <c r="E16" s="34">
        <f t="shared" si="3"/>
        <v>2.4606764041585969E-33</v>
      </c>
      <c r="F16" s="42">
        <f>IF($E$105&gt;0, E16/$E$105, 0)</f>
        <v>2.3679915151954122E-34</v>
      </c>
      <c r="H16" s="54">
        <v>7.2916666666666699E-2</v>
      </c>
      <c r="I16" s="47">
        <f>F16*$I$7</f>
        <v>1.6575940606367884E-34</v>
      </c>
      <c r="J16" s="47">
        <f>F16*$J$7</f>
        <v>2.1311923636758709E-34</v>
      </c>
      <c r="K16" s="47">
        <f>F16*$K$7</f>
        <v>2.2495919394356414E-34</v>
      </c>
      <c r="L16" s="47">
        <f>F16*$L$7</f>
        <v>2.1311923636758709E-34</v>
      </c>
      <c r="M16" s="47">
        <f>F16*$M$7</f>
        <v>1.4207949091172474E-34</v>
      </c>
      <c r="N16" s="47">
        <f>F16*$N$7</f>
        <v>0</v>
      </c>
      <c r="O16" s="48">
        <f>F16*$O$7</f>
        <v>0</v>
      </c>
    </row>
    <row r="17" spans="1:15" ht="17" thickBot="1" x14ac:dyDescent="0.25">
      <c r="A17" s="37">
        <f>A16+$H$2</f>
        <v>2</v>
      </c>
      <c r="B17" s="34">
        <f t="shared" si="0"/>
        <v>1.2340034934124728E-26</v>
      </c>
      <c r="C17" s="34">
        <f t="shared" si="1"/>
        <v>4.4689468787045349E-168</v>
      </c>
      <c r="D17" s="36">
        <f t="shared" si="2"/>
        <v>0</v>
      </c>
      <c r="E17" s="34">
        <f t="shared" si="3"/>
        <v>1.2340034934124728E-26</v>
      </c>
      <c r="F17" s="42">
        <f>IF($E$105&gt;0, E17/$E$105, 0)</f>
        <v>1.1875229905012313E-27</v>
      </c>
      <c r="H17" s="54">
        <v>8.3333333333333301E-2</v>
      </c>
      <c r="I17" s="47">
        <f>F17*$I$7</f>
        <v>8.312660933508618E-28</v>
      </c>
      <c r="J17" s="47">
        <f>F17*$J$7</f>
        <v>1.0687706914511082E-27</v>
      </c>
      <c r="K17" s="47">
        <f>F17*$K$7</f>
        <v>1.1281468409761696E-27</v>
      </c>
      <c r="L17" s="47">
        <f>F17*$L$7</f>
        <v>1.0687706914511082E-27</v>
      </c>
      <c r="M17" s="47">
        <f>F17*$M$7</f>
        <v>7.1251379430073876E-28</v>
      </c>
      <c r="N17" s="47">
        <f>F17*$N$7</f>
        <v>0</v>
      </c>
      <c r="O17" s="48">
        <f>F17*$O$7</f>
        <v>0</v>
      </c>
    </row>
    <row r="18" spans="1:15" ht="17" thickBot="1" x14ac:dyDescent="0.25">
      <c r="A18" s="37">
        <f>A17+$H$2</f>
        <v>2.25</v>
      </c>
      <c r="B18" s="34">
        <f t="shared" si="0"/>
        <v>2.2834834780879251E-21</v>
      </c>
      <c r="C18" s="34">
        <f t="shared" si="1"/>
        <v>1.9869546460046689E-148</v>
      </c>
      <c r="D18" s="36">
        <f t="shared" si="2"/>
        <v>0</v>
      </c>
      <c r="E18" s="34">
        <f t="shared" si="3"/>
        <v>2.2834834780879251E-21</v>
      </c>
      <c r="F18" s="42">
        <f>IF($E$105&gt;0, E18/$E$105, 0)</f>
        <v>2.1974728135982091E-22</v>
      </c>
      <c r="H18" s="54">
        <v>9.375E-2</v>
      </c>
      <c r="I18" s="47">
        <f>F18*$I$7</f>
        <v>1.5382309695187464E-22</v>
      </c>
      <c r="J18" s="47">
        <f>F18*$J$7</f>
        <v>1.9777255322383882E-22</v>
      </c>
      <c r="K18" s="47">
        <f>F18*$K$7</f>
        <v>2.0875991729182986E-22</v>
      </c>
      <c r="L18" s="47">
        <f>F18*$L$7</f>
        <v>1.9777255322383882E-22</v>
      </c>
      <c r="M18" s="47">
        <f>F18*$M$7</f>
        <v>1.3184836881589255E-22</v>
      </c>
      <c r="N18" s="47">
        <f>F18*$N$7</f>
        <v>0</v>
      </c>
      <c r="O18" s="48">
        <f>F18*$O$7</f>
        <v>0</v>
      </c>
    </row>
    <row r="19" spans="1:15" ht="17" thickBot="1" x14ac:dyDescent="0.25">
      <c r="A19" s="37">
        <f>A18+$H$2</f>
        <v>2.5</v>
      </c>
      <c r="B19" s="34">
        <f t="shared" si="0"/>
        <v>3.629253227322912E-17</v>
      </c>
      <c r="C19" s="34">
        <f t="shared" si="1"/>
        <v>6.7923619043967357E-132</v>
      </c>
      <c r="D19" s="36">
        <f t="shared" si="2"/>
        <v>0</v>
      </c>
      <c r="E19" s="34">
        <f t="shared" si="3"/>
        <v>3.629253227322912E-17</v>
      </c>
      <c r="F19" s="42">
        <f>IF($E$105&gt;0, E19/$E$105, 0)</f>
        <v>3.49255222436892E-18</v>
      </c>
      <c r="H19" s="54">
        <v>0.104166666666667</v>
      </c>
      <c r="I19" s="47">
        <f>F19*$I$7</f>
        <v>2.4447865570582437E-18</v>
      </c>
      <c r="J19" s="47">
        <f>F19*$J$7</f>
        <v>3.1432970019320282E-18</v>
      </c>
      <c r="K19" s="47">
        <f>F19*$K$7</f>
        <v>3.3179246131504737E-18</v>
      </c>
      <c r="L19" s="47">
        <f>F19*$L$7</f>
        <v>3.1432970019320282E-18</v>
      </c>
      <c r="M19" s="47">
        <f>F19*$M$7</f>
        <v>2.0955313346213519E-18</v>
      </c>
      <c r="N19" s="47">
        <f>F19*$N$7</f>
        <v>0</v>
      </c>
      <c r="O19" s="48">
        <f>F19*$O$7</f>
        <v>0</v>
      </c>
    </row>
    <row r="20" spans="1:15" ht="17" thickBot="1" x14ac:dyDescent="0.25">
      <c r="A20" s="37">
        <f>A19+$H$2</f>
        <v>2.75</v>
      </c>
      <c r="B20" s="34">
        <f t="shared" si="0"/>
        <v>8.809830534124186E-14</v>
      </c>
      <c r="C20" s="34">
        <f t="shared" si="1"/>
        <v>8.7319336706001764E-118</v>
      </c>
      <c r="D20" s="36">
        <f t="shared" si="2"/>
        <v>0</v>
      </c>
      <c r="E20" s="34">
        <f t="shared" si="3"/>
        <v>8.809830534124186E-14</v>
      </c>
      <c r="F20" s="42">
        <f>IF($E$105&gt;0, E20/$E$105, 0)</f>
        <v>8.477995692509171E-15</v>
      </c>
      <c r="H20" s="54">
        <v>0.114583333333333</v>
      </c>
      <c r="I20" s="47">
        <f>F20*$I$7</f>
        <v>5.9345969847564191E-15</v>
      </c>
      <c r="J20" s="47">
        <f>F20*$J$7</f>
        <v>7.6301961232582534E-15</v>
      </c>
      <c r="K20" s="47">
        <f>F20*$K$7</f>
        <v>8.0540959078837122E-15</v>
      </c>
      <c r="L20" s="47">
        <f>F20*$L$7</f>
        <v>7.6301961232582534E-15</v>
      </c>
      <c r="M20" s="47">
        <f>F20*$M$7</f>
        <v>5.0867974155055023E-15</v>
      </c>
      <c r="N20" s="47">
        <f>F20*$N$7</f>
        <v>0</v>
      </c>
      <c r="O20" s="48">
        <f>F20*$O$7</f>
        <v>0</v>
      </c>
    </row>
    <row r="21" spans="1:15" ht="17" thickBot="1" x14ac:dyDescent="0.25">
      <c r="A21" s="37">
        <f>A20+$H$2</f>
        <v>3</v>
      </c>
      <c r="B21" s="34">
        <f t="shared" si="0"/>
        <v>4.907769679330254E-11</v>
      </c>
      <c r="C21" s="34">
        <f t="shared" si="1"/>
        <v>1.3142336986762395E-105</v>
      </c>
      <c r="D21" s="36">
        <f t="shared" si="2"/>
        <v>0</v>
      </c>
      <c r="E21" s="34">
        <f t="shared" si="3"/>
        <v>4.907769679330254E-11</v>
      </c>
      <c r="F21" s="42">
        <f>IF($E$105&gt;0, E21/$E$105, 0)</f>
        <v>4.7229115293448039E-12</v>
      </c>
      <c r="H21" s="54">
        <v>0.125</v>
      </c>
      <c r="I21" s="47">
        <f>F21*$I$7</f>
        <v>3.3060380705413624E-12</v>
      </c>
      <c r="J21" s="47">
        <f>F21*$J$7</f>
        <v>4.2506203764103237E-12</v>
      </c>
      <c r="K21" s="47">
        <f>F21*$K$7</f>
        <v>4.4867659528775638E-12</v>
      </c>
      <c r="L21" s="47">
        <f>F21*$L$7</f>
        <v>4.2506203764103237E-12</v>
      </c>
      <c r="M21" s="47">
        <f>F21*$M$7</f>
        <v>2.8337469176068822E-12</v>
      </c>
      <c r="N21" s="47">
        <f>F21*$N$7</f>
        <v>0</v>
      </c>
      <c r="O21" s="48">
        <f>F21*$O$7</f>
        <v>0</v>
      </c>
    </row>
    <row r="22" spans="1:15" ht="17" thickBot="1" x14ac:dyDescent="0.25">
      <c r="A22" s="37">
        <f>A21+$H$2</f>
        <v>3.25</v>
      </c>
      <c r="B22" s="34">
        <f t="shared" si="0"/>
        <v>8.4435485683171622E-9</v>
      </c>
      <c r="C22" s="34">
        <f t="shared" si="1"/>
        <v>5.350290448430302E-95</v>
      </c>
      <c r="D22" s="36">
        <f t="shared" si="2"/>
        <v>0</v>
      </c>
      <c r="E22" s="34">
        <f t="shared" si="3"/>
        <v>8.4435485683171622E-9</v>
      </c>
      <c r="F22" s="42">
        <f>IF($E$105&gt;0, E22/$E$105, 0)</f>
        <v>8.1255102597499972E-10</v>
      </c>
      <c r="H22" s="54">
        <v>0.13541666666666699</v>
      </c>
      <c r="I22" s="47">
        <f>F22*$I$7</f>
        <v>5.6878571818249975E-10</v>
      </c>
      <c r="J22" s="47">
        <f>F22*$J$7</f>
        <v>7.312959233774998E-10</v>
      </c>
      <c r="K22" s="47">
        <f>F22*$K$7</f>
        <v>7.7192347467624971E-10</v>
      </c>
      <c r="L22" s="47">
        <f>F22*$L$7</f>
        <v>7.312959233774998E-10</v>
      </c>
      <c r="M22" s="47">
        <f>F22*$M$7</f>
        <v>4.8753061558499983E-10</v>
      </c>
      <c r="N22" s="47">
        <f>F22*$N$7</f>
        <v>0</v>
      </c>
      <c r="O22" s="48">
        <f>F22*$O$7</f>
        <v>0</v>
      </c>
    </row>
    <row r="23" spans="1:15" ht="17" thickBot="1" x14ac:dyDescent="0.25">
      <c r="A23" s="37">
        <f>A22+$H$2</f>
        <v>3.5</v>
      </c>
      <c r="B23" s="34">
        <f t="shared" si="0"/>
        <v>5.6019673701835771E-7</v>
      </c>
      <c r="C23" s="34">
        <f t="shared" si="1"/>
        <v>1.1096231494792115E-85</v>
      </c>
      <c r="D23" s="36">
        <f t="shared" si="2"/>
        <v>0</v>
      </c>
      <c r="E23" s="34">
        <f t="shared" si="3"/>
        <v>5.6019673701835771E-7</v>
      </c>
      <c r="F23" s="42">
        <f>IF($E$105&gt;0, E23/$E$105, 0)</f>
        <v>5.3909612733220154E-8</v>
      </c>
      <c r="H23" s="54">
        <v>0.14583333333333301</v>
      </c>
      <c r="I23" s="47">
        <f>F23*$I$7</f>
        <v>3.7736728913254104E-8</v>
      </c>
      <c r="J23" s="47">
        <f>F23*$J$7</f>
        <v>4.8518651459898137E-8</v>
      </c>
      <c r="K23" s="47">
        <f>F23*$K$7</f>
        <v>5.1214132096559142E-8</v>
      </c>
      <c r="L23" s="47">
        <f>F23*$L$7</f>
        <v>4.8518651459898137E-8</v>
      </c>
      <c r="M23" s="47">
        <f>F23*$M$7</f>
        <v>3.2345767639932094E-8</v>
      </c>
      <c r="N23" s="47">
        <f>F23*$N$7</f>
        <v>0</v>
      </c>
      <c r="O23" s="48">
        <f>F23*$O$7</f>
        <v>0</v>
      </c>
    </row>
    <row r="24" spans="1:15" ht="17" thickBot="1" x14ac:dyDescent="0.25">
      <c r="A24" s="37">
        <f>A23+$H$2</f>
        <v>3.75</v>
      </c>
      <c r="B24" s="34">
        <f t="shared" si="0"/>
        <v>1.6983303299397485E-5</v>
      </c>
      <c r="C24" s="34">
        <f t="shared" si="1"/>
        <v>1.9115263324871475E-77</v>
      </c>
      <c r="D24" s="36">
        <f t="shared" si="2"/>
        <v>0</v>
      </c>
      <c r="E24" s="34">
        <f t="shared" si="3"/>
        <v>1.6983303299397485E-5</v>
      </c>
      <c r="F24" s="42">
        <f>IF($E$105&gt;0, E24/$E$105, 0)</f>
        <v>1.6343602939824611E-6</v>
      </c>
      <c r="H24" s="54">
        <v>0.15625</v>
      </c>
      <c r="I24" s="47">
        <f>F24*$I$7</f>
        <v>1.1440522057877226E-6</v>
      </c>
      <c r="J24" s="47">
        <f>F24*$J$7</f>
        <v>1.470924264584215E-6</v>
      </c>
      <c r="K24" s="47">
        <f>F24*$K$7</f>
        <v>1.5526422792833379E-6</v>
      </c>
      <c r="L24" s="47">
        <f>F24*$L$7</f>
        <v>1.470924264584215E-6</v>
      </c>
      <c r="M24" s="47">
        <f>F24*$M$7</f>
        <v>9.8061617638947655E-7</v>
      </c>
      <c r="N24" s="47">
        <f>F24*$N$7</f>
        <v>0</v>
      </c>
      <c r="O24" s="48">
        <f>F24*$O$7</f>
        <v>0</v>
      </c>
    </row>
    <row r="25" spans="1:15" ht="17" thickBot="1" x14ac:dyDescent="0.25">
      <c r="A25" s="37">
        <f>A24+$H$2</f>
        <v>4</v>
      </c>
      <c r="B25" s="34">
        <f t="shared" si="0"/>
        <v>2.6847694973460278E-4</v>
      </c>
      <c r="C25" s="34">
        <f t="shared" si="1"/>
        <v>4.0172205620854162E-70</v>
      </c>
      <c r="D25" s="36">
        <f t="shared" si="2"/>
        <v>0</v>
      </c>
      <c r="E25" s="34">
        <f t="shared" si="3"/>
        <v>2.6847694973460278E-4</v>
      </c>
      <c r="F25" s="42">
        <f>IF($E$105&gt;0, E25/$E$105, 0)</f>
        <v>2.5836438221728434E-5</v>
      </c>
      <c r="H25" s="54">
        <v>0.16666666666666699</v>
      </c>
      <c r="I25" s="47">
        <f>F25*$I$7</f>
        <v>1.8085506755209901E-5</v>
      </c>
      <c r="J25" s="47">
        <f>F25*$J$7</f>
        <v>2.3252794399555591E-5</v>
      </c>
      <c r="K25" s="47">
        <f>F25*$K$7</f>
        <v>2.4544616310642011E-5</v>
      </c>
      <c r="L25" s="47">
        <f>F25*$L$7</f>
        <v>2.3252794399555591E-5</v>
      </c>
      <c r="M25" s="47">
        <f>F25*$M$7</f>
        <v>1.5501862933037058E-5</v>
      </c>
      <c r="N25" s="47">
        <f>F25*$N$7</f>
        <v>0</v>
      </c>
      <c r="O25" s="48">
        <f>F25*$O$7</f>
        <v>0</v>
      </c>
    </row>
    <row r="26" spans="1:15" ht="17" thickBot="1" x14ac:dyDescent="0.25">
      <c r="A26" s="37">
        <f>A25+$H$2</f>
        <v>4.25</v>
      </c>
      <c r="B26" s="34">
        <f t="shared" si="0"/>
        <v>2.4564932051161724E-3</v>
      </c>
      <c r="C26" s="34">
        <f t="shared" si="1"/>
        <v>1.4000165110996006E-63</v>
      </c>
      <c r="D26" s="36">
        <f t="shared" si="2"/>
        <v>0</v>
      </c>
      <c r="E26" s="34">
        <f t="shared" si="3"/>
        <v>2.4564932051161724E-3</v>
      </c>
      <c r="F26" s="42">
        <f>IF($E$105&gt;0, E26/$E$105, 0)</f>
        <v>2.3639658823157317E-4</v>
      </c>
      <c r="H26" s="54">
        <v>0.17708333333333301</v>
      </c>
      <c r="I26" s="47">
        <f>F26*$I$7</f>
        <v>1.6547761176210121E-4</v>
      </c>
      <c r="J26" s="47">
        <f>F26*$J$7</f>
        <v>2.1275692940841585E-4</v>
      </c>
      <c r="K26" s="47">
        <f>F26*$K$7</f>
        <v>2.2457675881999451E-4</v>
      </c>
      <c r="L26" s="47">
        <f>F26*$L$7</f>
        <v>2.1275692940841585E-4</v>
      </c>
      <c r="M26" s="47">
        <f>F26*$M$7</f>
        <v>1.4183795293894389E-4</v>
      </c>
      <c r="N26" s="47">
        <f>F26*$N$7</f>
        <v>0</v>
      </c>
      <c r="O26" s="48">
        <f>F26*$O$7</f>
        <v>0</v>
      </c>
    </row>
    <row r="27" spans="1:15" ht="17" thickBot="1" x14ac:dyDescent="0.25">
      <c r="A27" s="37">
        <f>A26+$H$2</f>
        <v>4.5</v>
      </c>
      <c r="B27" s="34">
        <f t="shared" si="0"/>
        <v>1.4143790608008381E-2</v>
      </c>
      <c r="C27" s="34">
        <f t="shared" si="1"/>
        <v>1.0373941709560162E-57</v>
      </c>
      <c r="D27" s="36">
        <f t="shared" si="2"/>
        <v>0</v>
      </c>
      <c r="E27" s="34">
        <f t="shared" si="3"/>
        <v>1.4143790608008381E-2</v>
      </c>
      <c r="F27" s="42">
        <f>IF($E$105&gt;0, E27/$E$105, 0)</f>
        <v>1.3611044546882134E-3</v>
      </c>
      <c r="H27" s="54">
        <v>0.1875</v>
      </c>
      <c r="I27" s="47">
        <f>F27*$I$7</f>
        <v>9.5277311828174938E-4</v>
      </c>
      <c r="J27" s="47">
        <f>F27*$J$7</f>
        <v>1.224994009219392E-3</v>
      </c>
      <c r="K27" s="47">
        <f>F27*$K$7</f>
        <v>1.2930492319538026E-3</v>
      </c>
      <c r="L27" s="47">
        <f>F27*$L$7</f>
        <v>1.224994009219392E-3</v>
      </c>
      <c r="M27" s="47">
        <f>F27*$M$7</f>
        <v>8.1666267281292799E-4</v>
      </c>
      <c r="N27" s="47">
        <f>F27*$N$7</f>
        <v>0</v>
      </c>
      <c r="O27" s="48">
        <f>F27*$O$7</f>
        <v>0</v>
      </c>
    </row>
    <row r="28" spans="1:15" ht="17" thickBot="1" x14ac:dyDescent="0.25">
      <c r="A28" s="37">
        <f>A27+$H$2</f>
        <v>4.75</v>
      </c>
      <c r="B28" s="34">
        <f t="shared" si="0"/>
        <v>5.4842326987509349E-2</v>
      </c>
      <c r="C28" s="34">
        <f t="shared" si="1"/>
        <v>2.0035877997720759E-52</v>
      </c>
      <c r="D28" s="36">
        <f t="shared" si="2"/>
        <v>0</v>
      </c>
      <c r="E28" s="34">
        <f t="shared" si="3"/>
        <v>5.4842326987509349E-2</v>
      </c>
      <c r="F28" s="42">
        <f>IF($E$105&gt;0, E28/$E$105, 0)</f>
        <v>5.2776612463352702E-3</v>
      </c>
      <c r="H28" s="54">
        <v>0.19791666666666699</v>
      </c>
      <c r="I28" s="47">
        <f>F28*$I$7</f>
        <v>3.6943628724346888E-3</v>
      </c>
      <c r="J28" s="47">
        <f>F28*$J$7</f>
        <v>4.7498951217017429E-3</v>
      </c>
      <c r="K28" s="47">
        <f>F28*$K$7</f>
        <v>5.0137781840185061E-3</v>
      </c>
      <c r="L28" s="47">
        <f>F28*$L$7</f>
        <v>4.7498951217017429E-3</v>
      </c>
      <c r="M28" s="47">
        <f>F28*$M$7</f>
        <v>3.166596747801162E-3</v>
      </c>
      <c r="N28" s="47">
        <f>F28*$N$7</f>
        <v>0</v>
      </c>
      <c r="O28" s="48">
        <f>F28*$O$7</f>
        <v>0</v>
      </c>
    </row>
    <row r="29" spans="1:15" ht="17" thickBot="1" x14ac:dyDescent="0.25">
      <c r="A29" s="37">
        <f>A28+$H$2</f>
        <v>5</v>
      </c>
      <c r="B29" s="34">
        <f t="shared" si="0"/>
        <v>0.1513971358033615</v>
      </c>
      <c r="C29" s="34">
        <f t="shared" si="1"/>
        <v>1.1939488838295035E-47</v>
      </c>
      <c r="D29" s="36">
        <f t="shared" si="2"/>
        <v>0</v>
      </c>
      <c r="E29" s="34">
        <f t="shared" si="3"/>
        <v>0.1513971358033615</v>
      </c>
      <c r="F29" s="42">
        <f>IF($E$105&gt;0, E29/$E$105, 0)</f>
        <v>1.4569454658945106E-2</v>
      </c>
      <c r="H29" s="54">
        <v>0.20833333333333301</v>
      </c>
      <c r="I29" s="47">
        <f>F29*$I$7</f>
        <v>1.0198618261261573E-2</v>
      </c>
      <c r="J29" s="47">
        <f>F29*$J$7</f>
        <v>1.3112509193050596E-2</v>
      </c>
      <c r="K29" s="47">
        <f>F29*$K$7</f>
        <v>1.384098192599785E-2</v>
      </c>
      <c r="L29" s="47">
        <f>F29*$L$7</f>
        <v>1.3112509193050596E-2</v>
      </c>
      <c r="M29" s="47">
        <f>F29*$M$7</f>
        <v>8.7416727953670628E-3</v>
      </c>
      <c r="N29" s="47">
        <f>F29*$N$7</f>
        <v>0</v>
      </c>
      <c r="O29" s="48">
        <f>F29*$O$7</f>
        <v>0</v>
      </c>
    </row>
    <row r="30" spans="1:15" ht="17" thickBot="1" x14ac:dyDescent="0.25">
      <c r="A30" s="37">
        <f>A29+$H$2</f>
        <v>5.25</v>
      </c>
      <c r="B30" s="34">
        <f t="shared" si="0"/>
        <v>0.31157563612566608</v>
      </c>
      <c r="C30" s="34">
        <f t="shared" si="1"/>
        <v>2.5277552453125325E-43</v>
      </c>
      <c r="D30" s="36">
        <f t="shared" si="2"/>
        <v>0</v>
      </c>
      <c r="E30" s="34">
        <f t="shared" si="3"/>
        <v>0.31157563612566608</v>
      </c>
      <c r="F30" s="42">
        <f>IF($E$105&gt;0, E30/$E$105, 0)</f>
        <v>2.9983969506932242E-2</v>
      </c>
      <c r="H30" s="54">
        <v>0.21875</v>
      </c>
      <c r="I30" s="47">
        <f>F30*$I$7</f>
        <v>2.0988778654852568E-2</v>
      </c>
      <c r="J30" s="47">
        <f>F30*$J$7</f>
        <v>2.6985572556239019E-2</v>
      </c>
      <c r="K30" s="47">
        <f>F30*$K$7</f>
        <v>2.8484771031585629E-2</v>
      </c>
      <c r="L30" s="47">
        <f>F30*$L$7</f>
        <v>2.6985572556239019E-2</v>
      </c>
      <c r="M30" s="47">
        <f>F30*$M$7</f>
        <v>1.7990381704159345E-2</v>
      </c>
      <c r="N30" s="47">
        <f>F30*$N$7</f>
        <v>0</v>
      </c>
      <c r="O30" s="48">
        <f>F30*$O$7</f>
        <v>0</v>
      </c>
    </row>
    <row r="31" spans="1:15" ht="17" thickBot="1" x14ac:dyDescent="0.25">
      <c r="A31" s="37">
        <f>A30+$H$2</f>
        <v>5.5</v>
      </c>
      <c r="B31" s="34">
        <f t="shared" si="0"/>
        <v>0.49675888138302332</v>
      </c>
      <c r="C31" s="34">
        <f t="shared" si="1"/>
        <v>2.1415277632252228E-39</v>
      </c>
      <c r="D31" s="36">
        <f t="shared" si="2"/>
        <v>0</v>
      </c>
      <c r="E31" s="34">
        <f t="shared" si="3"/>
        <v>0.49675888138302332</v>
      </c>
      <c r="F31" s="42">
        <f>IF($E$105&gt;0, E31/$E$105, 0)</f>
        <v>4.7804774907621153E-2</v>
      </c>
      <c r="H31" s="54">
        <v>0.22916666666666699</v>
      </c>
      <c r="I31" s="47">
        <f>F31*$I$7</f>
        <v>3.3463342435334803E-2</v>
      </c>
      <c r="J31" s="47">
        <f>F31*$J$7</f>
        <v>4.3024297416859036E-2</v>
      </c>
      <c r="K31" s="47">
        <f>F31*$K$7</f>
        <v>4.5414536162240095E-2</v>
      </c>
      <c r="L31" s="47">
        <f>F31*$L$7</f>
        <v>4.3024297416859036E-2</v>
      </c>
      <c r="M31" s="47">
        <f>F31*$M$7</f>
        <v>2.868286494457269E-2</v>
      </c>
      <c r="N31" s="47">
        <f>F31*$N$7</f>
        <v>0</v>
      </c>
      <c r="O31" s="48">
        <f>F31*$O$7</f>
        <v>0</v>
      </c>
    </row>
    <row r="32" spans="1:15" ht="17" thickBot="1" x14ac:dyDescent="0.25">
      <c r="A32" s="37">
        <f>A31+$H$2</f>
        <v>5.75</v>
      </c>
      <c r="B32" s="34">
        <f t="shared" si="0"/>
        <v>0.63373820607486175</v>
      </c>
      <c r="C32" s="34">
        <f t="shared" si="1"/>
        <v>8.0328512590014597E-36</v>
      </c>
      <c r="D32" s="36">
        <f t="shared" si="2"/>
        <v>0</v>
      </c>
      <c r="E32" s="34">
        <f t="shared" si="3"/>
        <v>0.63373820607486175</v>
      </c>
      <c r="F32" s="42">
        <f>IF($E$105&gt;0, E32/$E$105, 0)</f>
        <v>6.0986755198864873E-2</v>
      </c>
      <c r="H32" s="54">
        <v>0.23958333333333301</v>
      </c>
      <c r="I32" s="47">
        <f>F32*$I$7</f>
        <v>4.2690728639205408E-2</v>
      </c>
      <c r="J32" s="47">
        <f>F32*$J$7</f>
        <v>5.4888079678978387E-2</v>
      </c>
      <c r="K32" s="47">
        <f>F32*$K$7</f>
        <v>5.7937417438921626E-2</v>
      </c>
      <c r="L32" s="47">
        <f>F32*$L$7</f>
        <v>5.4888079678978387E-2</v>
      </c>
      <c r="M32" s="47">
        <f>F32*$M$7</f>
        <v>3.6592053119318922E-2</v>
      </c>
      <c r="N32" s="47">
        <f>F32*$N$7</f>
        <v>0</v>
      </c>
      <c r="O32" s="48">
        <f>F32*$O$7</f>
        <v>0</v>
      </c>
    </row>
    <row r="33" spans="1:15" ht="17" thickBot="1" x14ac:dyDescent="0.25">
      <c r="A33" s="37">
        <f>A32+$H$2</f>
        <v>6</v>
      </c>
      <c r="B33" s="34">
        <f t="shared" si="0"/>
        <v>0.66490380066905441</v>
      </c>
      <c r="C33" s="34">
        <f t="shared" si="1"/>
        <v>1.4546839516432692E-32</v>
      </c>
      <c r="D33" s="36">
        <f t="shared" si="2"/>
        <v>0</v>
      </c>
      <c r="E33" s="34">
        <f t="shared" si="3"/>
        <v>0.66490380066905441</v>
      </c>
      <c r="F33" s="42">
        <f>IF($E$105&gt;0, E33/$E$105, 0)</f>
        <v>6.3985924997882124E-2</v>
      </c>
      <c r="H33" s="54">
        <v>0.25</v>
      </c>
      <c r="I33" s="47">
        <f>F33*$I$7</f>
        <v>4.4790147498517487E-2</v>
      </c>
      <c r="J33" s="47">
        <f>F33*$J$7</f>
        <v>5.7587332498093911E-2</v>
      </c>
      <c r="K33" s="47">
        <f>F33*$K$7</f>
        <v>6.0786628747988014E-2</v>
      </c>
      <c r="L33" s="47">
        <f>F33*$L$7</f>
        <v>5.7587332498093911E-2</v>
      </c>
      <c r="M33" s="47">
        <f>F33*$M$7</f>
        <v>3.8391554998729274E-2</v>
      </c>
      <c r="N33" s="47">
        <f>F33*$N$7</f>
        <v>0</v>
      </c>
      <c r="O33" s="48">
        <f>F33*$O$7</f>
        <v>0</v>
      </c>
    </row>
    <row r="34" spans="1:15" ht="17" thickBot="1" x14ac:dyDescent="0.25">
      <c r="A34" s="37">
        <f>A33+$H$2</f>
        <v>6.25</v>
      </c>
      <c r="B34" s="34">
        <f t="shared" si="0"/>
        <v>0.58727818260030162</v>
      </c>
      <c r="C34" s="34">
        <f t="shared" si="1"/>
        <v>1.3702891766247091E-29</v>
      </c>
      <c r="D34" s="36">
        <f t="shared" si="2"/>
        <v>0</v>
      </c>
      <c r="E34" s="34">
        <f t="shared" si="3"/>
        <v>0.58727818260030162</v>
      </c>
      <c r="F34" s="42">
        <f>IF($E$105&gt;0, E34/$E$105, 0)</f>
        <v>5.6515751161210548E-2</v>
      </c>
      <c r="H34" s="54">
        <v>0.26041666666666702</v>
      </c>
      <c r="I34" s="47">
        <f>F34*$I$7</f>
        <v>3.9561025812847379E-2</v>
      </c>
      <c r="J34" s="47">
        <f>F34*$J$7</f>
        <v>5.0864176045089492E-2</v>
      </c>
      <c r="K34" s="47">
        <f>F34*$K$7</f>
        <v>5.3689963603150016E-2</v>
      </c>
      <c r="L34" s="47">
        <f>F34*$L$7</f>
        <v>5.0864176045089492E-2</v>
      </c>
      <c r="M34" s="47">
        <f>F34*$M$7</f>
        <v>3.390945069672633E-2</v>
      </c>
      <c r="N34" s="47">
        <f>F34*$N$7</f>
        <v>0</v>
      </c>
      <c r="O34" s="48">
        <f>F34*$O$7</f>
        <v>0</v>
      </c>
    </row>
    <row r="35" spans="1:15" ht="17" thickBot="1" x14ac:dyDescent="0.25">
      <c r="A35" s="37">
        <f>A34+$H$2</f>
        <v>6.5</v>
      </c>
      <c r="B35" s="34">
        <f t="shared" si="0"/>
        <v>0.4455270259071113</v>
      </c>
      <c r="C35" s="34">
        <f t="shared" si="1"/>
        <v>7.1626583364512388E-27</v>
      </c>
      <c r="D35" s="36">
        <f t="shared" si="2"/>
        <v>0</v>
      </c>
      <c r="E35" s="34">
        <f t="shared" si="3"/>
        <v>0.4455270259071113</v>
      </c>
      <c r="F35" s="42">
        <f>IF($E$105&gt;0, E35/$E$105, 0)</f>
        <v>4.2874561456163272E-2</v>
      </c>
      <c r="H35" s="54">
        <v>0.27083333333333298</v>
      </c>
      <c r="I35" s="47">
        <f>F35*$I$7</f>
        <v>3.0012193019314289E-2</v>
      </c>
      <c r="J35" s="47">
        <f>F35*$J$7</f>
        <v>3.8587105310546946E-2</v>
      </c>
      <c r="K35" s="47">
        <f>F35*$K$7</f>
        <v>4.0730833383355106E-2</v>
      </c>
      <c r="L35" s="47">
        <f>F35*$L$7</f>
        <v>3.8587105310546946E-2</v>
      </c>
      <c r="M35" s="47">
        <f>F35*$M$7</f>
        <v>2.5724736873697963E-2</v>
      </c>
      <c r="N35" s="47">
        <f>F35*$N$7</f>
        <v>0</v>
      </c>
      <c r="O35" s="48">
        <f>F35*$O$7</f>
        <v>0</v>
      </c>
    </row>
    <row r="36" spans="1:15" ht="17" thickBot="1" x14ac:dyDescent="0.25">
      <c r="A36" s="37">
        <f>A35+$H$2</f>
        <v>6.75</v>
      </c>
      <c r="B36" s="34">
        <f t="shared" si="0"/>
        <v>0.29536655947229756</v>
      </c>
      <c r="C36" s="34">
        <f t="shared" si="1"/>
        <v>2.1979550469212204E-24</v>
      </c>
      <c r="D36" s="36">
        <f t="shared" si="2"/>
        <v>0</v>
      </c>
      <c r="E36" s="34">
        <f t="shared" si="3"/>
        <v>0.29536655947229756</v>
      </c>
      <c r="F36" s="42">
        <f>IF($E$105&gt;0, E36/$E$105, 0)</f>
        <v>2.8424115642382612E-2</v>
      </c>
      <c r="H36" s="54">
        <v>0.28125</v>
      </c>
      <c r="I36" s="47">
        <f>F36*$I$7</f>
        <v>1.9896880949667826E-2</v>
      </c>
      <c r="J36" s="47">
        <f>F36*$J$7</f>
        <v>2.5581704078144352E-2</v>
      </c>
      <c r="K36" s="47">
        <f>F36*$K$7</f>
        <v>2.7002909860263481E-2</v>
      </c>
      <c r="L36" s="47">
        <f>F36*$L$7</f>
        <v>2.5581704078144352E-2</v>
      </c>
      <c r="M36" s="47">
        <f>F36*$M$7</f>
        <v>1.7054469385429566E-2</v>
      </c>
      <c r="N36" s="47">
        <f>F36*$N$7</f>
        <v>0</v>
      </c>
      <c r="O36" s="48">
        <f>F36*$O$7</f>
        <v>0</v>
      </c>
    </row>
    <row r="37" spans="1:15" ht="17" thickBot="1" x14ac:dyDescent="0.25">
      <c r="A37" s="37">
        <f>A36+$H$2</f>
        <v>7</v>
      </c>
      <c r="B37" s="34">
        <f t="shared" si="0"/>
        <v>0.17370701969040464</v>
      </c>
      <c r="C37" s="34">
        <f t="shared" si="1"/>
        <v>4.1597944158558052E-22</v>
      </c>
      <c r="D37" s="36">
        <f t="shared" si="2"/>
        <v>0</v>
      </c>
      <c r="E37" s="34">
        <f t="shared" si="3"/>
        <v>0.17370701969040464</v>
      </c>
      <c r="F37" s="42">
        <f>IF($E$105&gt;0, E37/$E$105, 0)</f>
        <v>1.6716409685629225E-2</v>
      </c>
      <c r="H37" s="54">
        <v>0.29166666666666702</v>
      </c>
      <c r="I37" s="47">
        <f>F37*$I$7</f>
        <v>1.1701486779940456E-2</v>
      </c>
      <c r="J37" s="47">
        <f>F37*$J$7</f>
        <v>1.5044768717066302E-2</v>
      </c>
      <c r="K37" s="47">
        <f>F37*$K$7</f>
        <v>1.5880589201347762E-2</v>
      </c>
      <c r="L37" s="47">
        <f>F37*$L$7</f>
        <v>1.5044768717066302E-2</v>
      </c>
      <c r="M37" s="47">
        <f>F37*$M$7</f>
        <v>1.0029845811377535E-2</v>
      </c>
      <c r="N37" s="47">
        <f>F37*$N$7</f>
        <v>0</v>
      </c>
      <c r="O37" s="48">
        <f>F37*$O$7</f>
        <v>0</v>
      </c>
    </row>
    <row r="38" spans="1:15" ht="17" thickBot="1" x14ac:dyDescent="0.25">
      <c r="A38" s="37">
        <f>A37+$H$2</f>
        <v>7.25</v>
      </c>
      <c r="B38" s="34">
        <f t="shared" si="0"/>
        <v>9.1814813209398508E-2</v>
      </c>
      <c r="C38" s="34">
        <f t="shared" si="1"/>
        <v>5.0709099346809059E-20</v>
      </c>
      <c r="D38" s="36">
        <f t="shared" si="2"/>
        <v>9.2666981961793236E-298</v>
      </c>
      <c r="E38" s="34">
        <f t="shared" si="3"/>
        <v>9.1814813209398508E-2</v>
      </c>
      <c r="F38" s="42">
        <f>IF($E$105&gt;0, E38/$E$105, 0)</f>
        <v>8.8356477219706069E-3</v>
      </c>
      <c r="H38" s="54">
        <v>0.30208333333333298</v>
      </c>
      <c r="I38" s="47">
        <f>F38*$I$7</f>
        <v>6.1849534053794245E-3</v>
      </c>
      <c r="J38" s="47">
        <f>F38*$J$7</f>
        <v>7.9520829497735472E-3</v>
      </c>
      <c r="K38" s="47">
        <f>F38*$K$7</f>
        <v>8.3938653358720753E-3</v>
      </c>
      <c r="L38" s="47">
        <f>F38*$L$7</f>
        <v>7.9520829497735472E-3</v>
      </c>
      <c r="M38" s="47">
        <f>F38*$M$7</f>
        <v>5.3013886331823639E-3</v>
      </c>
      <c r="N38" s="47">
        <f>F38*$N$7</f>
        <v>0</v>
      </c>
      <c r="O38" s="48">
        <f>F38*$O$7</f>
        <v>0</v>
      </c>
    </row>
    <row r="39" spans="1:15" ht="17" thickBot="1" x14ac:dyDescent="0.25">
      <c r="A39" s="37">
        <f>A38+$H$2</f>
        <v>7.5</v>
      </c>
      <c r="B39" s="34">
        <f t="shared" si="0"/>
        <v>4.411706167002663E-2</v>
      </c>
      <c r="C39" s="34">
        <f t="shared" si="1"/>
        <v>4.1373357470830591E-18</v>
      </c>
      <c r="D39" s="36">
        <f t="shared" si="2"/>
        <v>6.8273937646196501E-280</v>
      </c>
      <c r="E39" s="34">
        <f t="shared" si="3"/>
        <v>4.4117061670026637E-2</v>
      </c>
      <c r="F39" s="42">
        <f>IF($E$105&gt;0, E39/$E$105, 0)</f>
        <v>4.2455329572560303E-3</v>
      </c>
      <c r="H39" s="54">
        <v>0.3125</v>
      </c>
      <c r="I39" s="47">
        <f>F39*$I$7</f>
        <v>2.9718730700792209E-3</v>
      </c>
      <c r="J39" s="47">
        <f>F39*$J$7</f>
        <v>3.8209796615304272E-3</v>
      </c>
      <c r="K39" s="47">
        <f>F39*$K$7</f>
        <v>4.0332563093932287E-3</v>
      </c>
      <c r="L39" s="47">
        <f>F39*$L$7</f>
        <v>3.8209796615304272E-3</v>
      </c>
      <c r="M39" s="47">
        <f>F39*$M$7</f>
        <v>2.5473197743536183E-3</v>
      </c>
      <c r="N39" s="47">
        <f>F39*$N$7</f>
        <v>0</v>
      </c>
      <c r="O39" s="48">
        <f>F39*$O$7</f>
        <v>0</v>
      </c>
    </row>
    <row r="40" spans="1:15" ht="17" thickBot="1" x14ac:dyDescent="0.25">
      <c r="A40" s="37">
        <f>A39+$H$2</f>
        <v>7.75</v>
      </c>
      <c r="B40" s="34">
        <f t="shared" si="0"/>
        <v>1.9464930208002128E-2</v>
      </c>
      <c r="C40" s="34">
        <f t="shared" si="1"/>
        <v>2.337534449737699E-16</v>
      </c>
      <c r="D40" s="36">
        <f t="shared" si="2"/>
        <v>3.8729766912830623E-263</v>
      </c>
      <c r="E40" s="34">
        <f t="shared" si="3"/>
        <v>1.9464930208002339E-2</v>
      </c>
      <c r="F40" s="42">
        <f>IF($E$105&gt;0, E40/$E$105, 0)</f>
        <v>1.8731755828813E-3</v>
      </c>
      <c r="H40" s="54">
        <v>0.32291666666666702</v>
      </c>
      <c r="I40" s="47">
        <f>F40*$I$7</f>
        <v>1.3112229080169098E-3</v>
      </c>
      <c r="J40" s="47">
        <f>F40*$J$7</f>
        <v>1.6858580245931701E-3</v>
      </c>
      <c r="K40" s="47">
        <f>F40*$K$7</f>
        <v>1.7795168037372348E-3</v>
      </c>
      <c r="L40" s="47">
        <f>F40*$L$7</f>
        <v>1.6858580245931701E-3</v>
      </c>
      <c r="M40" s="47">
        <f>F40*$M$7</f>
        <v>1.1239053497287799E-3</v>
      </c>
      <c r="N40" s="47">
        <f>F40*$N$7</f>
        <v>0</v>
      </c>
      <c r="O40" s="48">
        <f>F40*$O$7</f>
        <v>0</v>
      </c>
    </row>
    <row r="41" spans="1:15" ht="17" thickBot="1" x14ac:dyDescent="0.25">
      <c r="A41" s="37">
        <f>A40+$H$2</f>
        <v>8</v>
      </c>
      <c r="B41" s="34">
        <f t="shared" si="0"/>
        <v>7.9558822170047172E-3</v>
      </c>
      <c r="C41" s="34">
        <f t="shared" si="1"/>
        <v>9.4267486006114388E-15</v>
      </c>
      <c r="D41" s="36">
        <f t="shared" si="2"/>
        <v>2.0677706885652419E-247</v>
      </c>
      <c r="E41" s="34">
        <f t="shared" si="3"/>
        <v>7.9558822170132017E-3</v>
      </c>
      <c r="F41" s="42">
        <f>IF($E$105&gt;0, E41/$E$105, 0)</f>
        <v>7.6562125576293684E-4</v>
      </c>
      <c r="H41" s="54">
        <v>0.33333333333333298</v>
      </c>
      <c r="I41" s="47">
        <f>F41*$I$7</f>
        <v>5.3593487903405579E-4</v>
      </c>
      <c r="J41" s="47">
        <f>F41*$J$7</f>
        <v>6.8905913018664315E-4</v>
      </c>
      <c r="K41" s="47">
        <f>F41*$K$7</f>
        <v>7.2734019297478994E-4</v>
      </c>
      <c r="L41" s="47">
        <f>F41*$L$7</f>
        <v>6.8905913018664315E-4</v>
      </c>
      <c r="M41" s="47">
        <f>F41*$M$7</f>
        <v>4.593727534577621E-4</v>
      </c>
      <c r="N41" s="47">
        <f>F41*$N$7</f>
        <v>0</v>
      </c>
      <c r="O41" s="48">
        <f>F41*$O$7</f>
        <v>0</v>
      </c>
    </row>
    <row r="42" spans="1:15" ht="17" thickBot="1" x14ac:dyDescent="0.25">
      <c r="A42" s="37">
        <f>A41+$H$2</f>
        <v>8.25</v>
      </c>
      <c r="B42" s="34">
        <f t="shared" si="0"/>
        <v>3.036026825381869E-3</v>
      </c>
      <c r="C42" s="34">
        <f t="shared" si="1"/>
        <v>2.788031046043726E-13</v>
      </c>
      <c r="D42" s="36">
        <f t="shared" si="2"/>
        <v>1.2438927274455985E-232</v>
      </c>
      <c r="E42" s="34">
        <f t="shared" si="3"/>
        <v>3.036026825632792E-3</v>
      </c>
      <c r="F42" s="42">
        <f>IF($E$105&gt;0, E42/$E$105, 0)</f>
        <v>2.9216705418290932E-4</v>
      </c>
      <c r="H42" s="54">
        <v>0.34375</v>
      </c>
      <c r="I42" s="47">
        <f>F42*$I$7</f>
        <v>2.0451693792803653E-4</v>
      </c>
      <c r="J42" s="47">
        <f>F42*$J$7</f>
        <v>2.6295034876461839E-4</v>
      </c>
      <c r="K42" s="47">
        <f>F42*$K$7</f>
        <v>2.7755870147376386E-4</v>
      </c>
      <c r="L42" s="47">
        <f>F42*$L$7</f>
        <v>2.6295034876461839E-4</v>
      </c>
      <c r="M42" s="47">
        <f>F42*$M$7</f>
        <v>1.7530023250974559E-4</v>
      </c>
      <c r="N42" s="47">
        <f>F42*$N$7</f>
        <v>0</v>
      </c>
      <c r="O42" s="48">
        <f>F42*$O$7</f>
        <v>0</v>
      </c>
    </row>
    <row r="43" spans="1:15" ht="17" thickBot="1" x14ac:dyDescent="0.25">
      <c r="A43" s="37">
        <f>A42+$H$2</f>
        <v>8.5</v>
      </c>
      <c r="B43" s="34">
        <f t="shared" si="0"/>
        <v>1.0892158260332092E-3</v>
      </c>
      <c r="C43" s="34">
        <f t="shared" si="1"/>
        <v>6.1960423381393206E-12</v>
      </c>
      <c r="D43" s="36">
        <f t="shared" si="2"/>
        <v>9.9119585888404504E-219</v>
      </c>
      <c r="E43" s="34">
        <f t="shared" si="3"/>
        <v>1.0892158316096474E-3</v>
      </c>
      <c r="F43" s="42">
        <f>IF($E$105&gt;0, E43/$E$105, 0)</f>
        <v>1.0481889626401767E-4</v>
      </c>
      <c r="H43" s="54">
        <v>0.35416666666666702</v>
      </c>
      <c r="I43" s="47">
        <f>F43*$I$7</f>
        <v>7.3373227384812372E-5</v>
      </c>
      <c r="J43" s="47">
        <f>F43*$J$7</f>
        <v>9.4337006637615901E-5</v>
      </c>
      <c r="K43" s="47">
        <f>F43*$K$7</f>
        <v>9.9577951450816786E-5</v>
      </c>
      <c r="L43" s="47">
        <f>F43*$L$7</f>
        <v>9.4337006637615901E-5</v>
      </c>
      <c r="M43" s="47">
        <f>F43*$M$7</f>
        <v>6.28913377584106E-5</v>
      </c>
      <c r="N43" s="47">
        <f>F43*$N$7</f>
        <v>0</v>
      </c>
      <c r="O43" s="48">
        <f>F43*$O$7</f>
        <v>0</v>
      </c>
    </row>
    <row r="44" spans="1:15" ht="17" thickBot="1" x14ac:dyDescent="0.25">
      <c r="A44" s="37">
        <f>A43+$H$2</f>
        <v>8.75</v>
      </c>
      <c r="B44" s="34">
        <f t="shared" si="0"/>
        <v>3.6964998623032863E-4</v>
      </c>
      <c r="C44" s="34">
        <f t="shared" si="1"/>
        <v>1.057549346386004E-10</v>
      </c>
      <c r="D44" s="36">
        <f t="shared" si="2"/>
        <v>1.2106322048499361E-205</v>
      </c>
      <c r="E44" s="34">
        <f t="shared" si="3"/>
        <v>3.6965008140976978E-4</v>
      </c>
      <c r="F44" s="42">
        <f>IF($E$105&gt;0, E44/$E$105, 0)</f>
        <v>3.5572668348032453E-5</v>
      </c>
      <c r="H44" s="54">
        <v>0.36458333333333298</v>
      </c>
      <c r="I44" s="47">
        <f>F44*$I$7</f>
        <v>2.4900867843622715E-5</v>
      </c>
      <c r="J44" s="47">
        <f>F44*$J$7</f>
        <v>3.2015401513229211E-5</v>
      </c>
      <c r="K44" s="47">
        <f>F44*$K$7</f>
        <v>3.3794034930630832E-5</v>
      </c>
      <c r="L44" s="47">
        <f>F44*$L$7</f>
        <v>3.2015401513229211E-5</v>
      </c>
      <c r="M44" s="47">
        <f>F44*$M$7</f>
        <v>2.1343601008819473E-5</v>
      </c>
      <c r="N44" s="47">
        <f>F44*$N$7</f>
        <v>0</v>
      </c>
      <c r="O44" s="48">
        <f>F44*$O$7</f>
        <v>0</v>
      </c>
    </row>
    <row r="45" spans="1:15" ht="17" thickBot="1" x14ac:dyDescent="0.25">
      <c r="A45" s="37">
        <f>A44+$H$2</f>
        <v>9</v>
      </c>
      <c r="B45" s="34">
        <f t="shared" si="0"/>
        <v>1.1932308877093343E-4</v>
      </c>
      <c r="C45" s="34">
        <f t="shared" si="1"/>
        <v>1.4138893275207506E-9</v>
      </c>
      <c r="D45" s="36">
        <f t="shared" si="2"/>
        <v>2.5862504533728629E-193</v>
      </c>
      <c r="E45" s="34">
        <f t="shared" si="3"/>
        <v>1.193243612713282E-4</v>
      </c>
      <c r="F45" s="42">
        <f>IF($E$105&gt;0, E45/$E$105, 0)</f>
        <v>1.1482983888864306E-5</v>
      </c>
      <c r="H45" s="54">
        <v>0.375</v>
      </c>
      <c r="I45" s="47">
        <f>F45*$I$7</f>
        <v>8.0380887222050147E-6</v>
      </c>
      <c r="J45" s="47">
        <f>F45*$J$7</f>
        <v>1.0334685499977875E-5</v>
      </c>
      <c r="K45" s="47">
        <f>F45*$K$7</f>
        <v>1.0908834694421091E-5</v>
      </c>
      <c r="L45" s="47">
        <f>F45*$L$7</f>
        <v>1.0334685499977875E-5</v>
      </c>
      <c r="M45" s="47">
        <f>F45*$M$7</f>
        <v>6.8897903333185836E-6</v>
      </c>
      <c r="N45" s="47">
        <f>F45*$N$7</f>
        <v>0</v>
      </c>
      <c r="O45" s="48">
        <f>F45*$O$7</f>
        <v>0</v>
      </c>
    </row>
    <row r="46" spans="1:15" ht="17" thickBot="1" x14ac:dyDescent="0.25">
      <c r="A46" s="37">
        <f>A45+$H$2</f>
        <v>9.25</v>
      </c>
      <c r="B46" s="34">
        <f t="shared" si="0"/>
        <v>3.6817301314939345E-5</v>
      </c>
      <c r="C46" s="34">
        <f t="shared" si="1"/>
        <v>1.5073029354597669E-8</v>
      </c>
      <c r="D46" s="36">
        <f t="shared" si="2"/>
        <v>1.0892629561567234E-181</v>
      </c>
      <c r="E46" s="34">
        <f t="shared" si="3"/>
        <v>3.6830867041358481E-5</v>
      </c>
      <c r="F46" s="42">
        <f>IF($E$105&gt;0, E46/$E$105, 0)</f>
        <v>3.5443579864394879E-6</v>
      </c>
      <c r="H46" s="54">
        <v>0.38541666666666702</v>
      </c>
      <c r="I46" s="47">
        <f>F46*$I$7</f>
        <v>2.4810505905076412E-6</v>
      </c>
      <c r="J46" s="47">
        <f>F46*$J$7</f>
        <v>3.1899221877955391E-6</v>
      </c>
      <c r="K46" s="47">
        <f>F46*$K$7</f>
        <v>3.3671400871175133E-6</v>
      </c>
      <c r="L46" s="47">
        <f>F46*$L$7</f>
        <v>3.1899221877955391E-6</v>
      </c>
      <c r="M46" s="47">
        <f>F46*$M$7</f>
        <v>2.1266147918636925E-6</v>
      </c>
      <c r="N46" s="47">
        <f>F46*$N$7</f>
        <v>0</v>
      </c>
      <c r="O46" s="48">
        <f>F46*$O$7</f>
        <v>0</v>
      </c>
    </row>
    <row r="47" spans="1:15" ht="17" thickBot="1" x14ac:dyDescent="0.25">
      <c r="A47" s="37">
        <f>A46+$H$2</f>
        <v>9.5</v>
      </c>
      <c r="B47" s="34">
        <f t="shared" si="0"/>
        <v>1.0906590417138987E-5</v>
      </c>
      <c r="C47" s="34">
        <f t="shared" si="1"/>
        <v>1.3021974834654823E-7</v>
      </c>
      <c r="D47" s="36">
        <f t="shared" si="2"/>
        <v>1.0085171316696671E-170</v>
      </c>
      <c r="E47" s="34">
        <f t="shared" si="3"/>
        <v>1.102378819065088E-5</v>
      </c>
      <c r="F47" s="42">
        <f>IF($E$105&gt;0, E47/$E$105, 0)</f>
        <v>1.0608561473851636E-6</v>
      </c>
      <c r="H47" s="54">
        <v>0.39583333333333298</v>
      </c>
      <c r="I47" s="47">
        <f>F47*$I$7</f>
        <v>7.4259930316961444E-7</v>
      </c>
      <c r="J47" s="47">
        <f>F47*$J$7</f>
        <v>9.5477053264664718E-7</v>
      </c>
      <c r="K47" s="47">
        <f>F47*$K$7</f>
        <v>1.0078133400159054E-6</v>
      </c>
      <c r="L47" s="47">
        <f>F47*$L$7</f>
        <v>9.5477053264664718E-7</v>
      </c>
      <c r="M47" s="47">
        <f>F47*$M$7</f>
        <v>6.3651368843109812E-7</v>
      </c>
      <c r="N47" s="47">
        <f>F47*$N$7</f>
        <v>0</v>
      </c>
      <c r="O47" s="48">
        <f>F47*$O$7</f>
        <v>0</v>
      </c>
    </row>
    <row r="48" spans="1:15" ht="17" thickBot="1" x14ac:dyDescent="0.25">
      <c r="A48" s="37">
        <f>A47+$H$2</f>
        <v>9.75</v>
      </c>
      <c r="B48" s="34">
        <f t="shared" si="0"/>
        <v>3.1142796499933352E-6</v>
      </c>
      <c r="C48" s="34">
        <f t="shared" si="1"/>
        <v>9.2518138784079993E-7</v>
      </c>
      <c r="D48" s="36">
        <f t="shared" si="2"/>
        <v>2.2668647840343447E-160</v>
      </c>
      <c r="E48" s="34">
        <f t="shared" si="3"/>
        <v>3.9469428990500547E-6</v>
      </c>
      <c r="F48" s="42">
        <f>IF($E$105&gt;0, E48/$E$105, 0)</f>
        <v>3.7982756611620344E-7</v>
      </c>
      <c r="H48" s="54">
        <v>0.40625</v>
      </c>
      <c r="I48" s="47">
        <f>F48*$I$7</f>
        <v>2.658792962813424E-7</v>
      </c>
      <c r="J48" s="47">
        <f>F48*$J$7</f>
        <v>3.4184480950458311E-7</v>
      </c>
      <c r="K48" s="47">
        <f>F48*$K$7</f>
        <v>3.6083618781039325E-7</v>
      </c>
      <c r="L48" s="47">
        <f>F48*$L$7</f>
        <v>3.4184480950458311E-7</v>
      </c>
      <c r="M48" s="47">
        <f>F48*$M$7</f>
        <v>2.2789653966972205E-7</v>
      </c>
      <c r="N48" s="47">
        <f>F48*$N$7</f>
        <v>0</v>
      </c>
      <c r="O48" s="48">
        <f>F48*$O$7</f>
        <v>0</v>
      </c>
    </row>
    <row r="49" spans="1:15" ht="17" thickBot="1" x14ac:dyDescent="0.25">
      <c r="A49" s="37">
        <f>A48+$H$2</f>
        <v>10</v>
      </c>
      <c r="B49" s="34">
        <f t="shared" si="0"/>
        <v>8.6021848468924528E-7</v>
      </c>
      <c r="C49" s="34">
        <f t="shared" si="1"/>
        <v>5.478559892576279E-6</v>
      </c>
      <c r="D49" s="36">
        <f t="shared" si="2"/>
        <v>1.3543866746595259E-150</v>
      </c>
      <c r="E49" s="34">
        <f t="shared" si="3"/>
        <v>5.7909223880078971E-6</v>
      </c>
      <c r="F49" s="42">
        <f>IF($E$105&gt;0, E49/$E$105, 0)</f>
        <v>5.5727990306985639E-7</v>
      </c>
      <c r="H49" s="54">
        <v>0.41666666666666702</v>
      </c>
      <c r="I49" s="47">
        <f>F49*$I$7</f>
        <v>3.9009593214889944E-7</v>
      </c>
      <c r="J49" s="47">
        <f>F49*$J$7</f>
        <v>5.0155191276287074E-7</v>
      </c>
      <c r="K49" s="47">
        <f>F49*$K$7</f>
        <v>5.2941590791636351E-7</v>
      </c>
      <c r="L49" s="47">
        <f>F49*$L$7</f>
        <v>5.0155191276287074E-7</v>
      </c>
      <c r="M49" s="47">
        <f>F49*$M$7</f>
        <v>3.3436794184191384E-7</v>
      </c>
      <c r="N49" s="47">
        <f>F49*$N$7</f>
        <v>0</v>
      </c>
      <c r="O49" s="48">
        <f>F49*$O$7</f>
        <v>0</v>
      </c>
    </row>
    <row r="50" spans="1:15" ht="17" thickBot="1" x14ac:dyDescent="0.25">
      <c r="A50" s="37">
        <f>A49+$H$2</f>
        <v>10.25</v>
      </c>
      <c r="B50" s="34">
        <f t="shared" si="0"/>
        <v>2.3059100903631019E-7</v>
      </c>
      <c r="C50" s="34">
        <f t="shared" si="1"/>
        <v>2.7371991388325789E-5</v>
      </c>
      <c r="D50" s="36">
        <f t="shared" si="2"/>
        <v>2.3372066325418072E-141</v>
      </c>
      <c r="E50" s="34">
        <f t="shared" si="3"/>
        <v>2.486538325852952E-5</v>
      </c>
      <c r="F50" s="42">
        <f>IF($E$105&gt;0, E50/$E$105, 0)</f>
        <v>2.3928793106956183E-6</v>
      </c>
      <c r="H50" s="54">
        <v>0.42708333333333298</v>
      </c>
      <c r="I50" s="47">
        <f>F50*$I$7</f>
        <v>1.6750155174869327E-6</v>
      </c>
      <c r="J50" s="47">
        <f>F50*$J$7</f>
        <v>2.1535913796260566E-6</v>
      </c>
      <c r="K50" s="47">
        <f>F50*$K$7</f>
        <v>2.2732353451608375E-6</v>
      </c>
      <c r="L50" s="47">
        <f>F50*$L$7</f>
        <v>2.1535913796260566E-6</v>
      </c>
      <c r="M50" s="47">
        <f>F50*$M$7</f>
        <v>1.435727586417371E-6</v>
      </c>
      <c r="N50" s="47">
        <f>F50*$N$7</f>
        <v>0</v>
      </c>
      <c r="O50" s="48">
        <f>F50*$O$7</f>
        <v>0</v>
      </c>
    </row>
    <row r="51" spans="1:15" ht="17" thickBot="1" x14ac:dyDescent="0.25">
      <c r="A51" s="37">
        <f>A50+$H$2</f>
        <v>10.5</v>
      </c>
      <c r="B51" s="34">
        <f t="shared" si="0"/>
        <v>6.0162283392160042E-8</v>
      </c>
      <c r="C51" s="34">
        <f t="shared" si="1"/>
        <v>1.1668282718155816E-4</v>
      </c>
      <c r="D51" s="36">
        <f t="shared" si="2"/>
        <v>1.2571299580804087E-132</v>
      </c>
      <c r="E51" s="34">
        <f t="shared" si="3"/>
        <v>1.0507470674679451E-4</v>
      </c>
      <c r="F51" s="42">
        <f>IF($E$105&gt;0, E51/$E$105, 0)</f>
        <v>1.0111691794075443E-5</v>
      </c>
      <c r="H51" s="54">
        <v>0.4375</v>
      </c>
      <c r="I51" s="47">
        <f>F51*$I$7</f>
        <v>7.0781842558528101E-6</v>
      </c>
      <c r="J51" s="47">
        <f>F51*$J$7</f>
        <v>9.1005226146678986E-6</v>
      </c>
      <c r="K51" s="47">
        <f>F51*$K$7</f>
        <v>9.606107204371671E-6</v>
      </c>
      <c r="L51" s="47">
        <f>F51*$L$7</f>
        <v>9.1005226146678986E-6</v>
      </c>
      <c r="M51" s="47">
        <f>F51*$M$7</f>
        <v>6.0670150764452655E-6</v>
      </c>
      <c r="N51" s="47">
        <f>F51*$N$7</f>
        <v>0</v>
      </c>
      <c r="O51" s="48">
        <f>F51*$O$7</f>
        <v>0</v>
      </c>
    </row>
    <row r="52" spans="1:15" ht="17" thickBot="1" x14ac:dyDescent="0.25">
      <c r="A52" s="37">
        <f>A51+$H$2</f>
        <v>10.75</v>
      </c>
      <c r="B52" s="34">
        <f t="shared" si="0"/>
        <v>1.5317977468083325E-8</v>
      </c>
      <c r="C52" s="34">
        <f t="shared" si="1"/>
        <v>4.2877003918045877E-4</v>
      </c>
      <c r="D52" s="36">
        <f t="shared" si="2"/>
        <v>2.2605641203972036E-124</v>
      </c>
      <c r="E52" s="34">
        <f t="shared" si="3"/>
        <v>3.85908353239881E-4</v>
      </c>
      <c r="F52" s="42">
        <f>IF($E$105&gt;0, E52/$E$105, 0)</f>
        <v>3.7137256429601362E-5</v>
      </c>
      <c r="H52" s="54">
        <v>0.44791666666666702</v>
      </c>
      <c r="I52" s="47">
        <f>F52*$I$7</f>
        <v>2.5996079500720951E-5</v>
      </c>
      <c r="J52" s="47">
        <f>F52*$J$7</f>
        <v>3.3423530786641224E-5</v>
      </c>
      <c r="K52" s="47">
        <f>F52*$K$7</f>
        <v>3.528039360812129E-5</v>
      </c>
      <c r="L52" s="47">
        <f>F52*$L$7</f>
        <v>3.3423530786641224E-5</v>
      </c>
      <c r="M52" s="47">
        <f>F52*$M$7</f>
        <v>2.2282353857760816E-5</v>
      </c>
      <c r="N52" s="47">
        <f>F52*$N$7</f>
        <v>0</v>
      </c>
      <c r="O52" s="48">
        <f>F52*$O$7</f>
        <v>0</v>
      </c>
    </row>
    <row r="53" spans="1:15" ht="17" thickBot="1" x14ac:dyDescent="0.25">
      <c r="A53" s="37">
        <f>A52+$H$2</f>
        <v>11</v>
      </c>
      <c r="B53" s="34">
        <f t="shared" si="0"/>
        <v>3.8151748863146889E-9</v>
      </c>
      <c r="C53" s="34">
        <f t="shared" si="1"/>
        <v>1.3710482968856373E-3</v>
      </c>
      <c r="D53" s="36">
        <f t="shared" si="2"/>
        <v>1.4495509415129801E-116</v>
      </c>
      <c r="E53" s="34">
        <f t="shared" si="3"/>
        <v>1.23394728237196E-3</v>
      </c>
      <c r="F53" s="42">
        <f>IF($E$105&gt;0, E53/$E$105, 0)</f>
        <v>1.1874688967297912E-4</v>
      </c>
      <c r="H53" s="54">
        <v>0.45833333333333298</v>
      </c>
      <c r="I53" s="47">
        <f>F53*$I$7</f>
        <v>8.3122822771085374E-5</v>
      </c>
      <c r="J53" s="47">
        <f>F53*$J$7</f>
        <v>1.068722007056812E-4</v>
      </c>
      <c r="K53" s="47">
        <f>F53*$K$7</f>
        <v>1.1280954518933016E-4</v>
      </c>
      <c r="L53" s="47">
        <f>F53*$L$7</f>
        <v>1.068722007056812E-4</v>
      </c>
      <c r="M53" s="47">
        <f>F53*$M$7</f>
        <v>7.1248133803787473E-5</v>
      </c>
      <c r="N53" s="47">
        <f>F53*$N$7</f>
        <v>0</v>
      </c>
      <c r="O53" s="48">
        <f>F53*$O$7</f>
        <v>0</v>
      </c>
    </row>
    <row r="54" spans="1:15" ht="17" thickBot="1" x14ac:dyDescent="0.25">
      <c r="A54" s="37">
        <f>A53+$H$2</f>
        <v>11.25</v>
      </c>
      <c r="B54" s="34">
        <f t="shared" si="0"/>
        <v>9.3155684371441052E-10</v>
      </c>
      <c r="C54" s="34">
        <f t="shared" si="1"/>
        <v>3.8482173669673325E-3</v>
      </c>
      <c r="D54" s="36">
        <f t="shared" si="2"/>
        <v>3.5179821823931619E-109</v>
      </c>
      <c r="E54" s="34">
        <f t="shared" si="3"/>
        <v>3.4633965618274432E-3</v>
      </c>
      <c r="F54" s="42">
        <f>IF($E$105&gt;0, E54/$E$105, 0)</f>
        <v>3.3329427869117543E-4</v>
      </c>
      <c r="H54" s="54">
        <v>0.46875</v>
      </c>
      <c r="I54" s="47">
        <f>F54*$I$7</f>
        <v>2.3330599508382277E-4</v>
      </c>
      <c r="J54" s="47">
        <f>F54*$J$7</f>
        <v>2.9996485082205788E-4</v>
      </c>
      <c r="K54" s="47">
        <f>F54*$K$7</f>
        <v>3.1662956475661666E-4</v>
      </c>
      <c r="L54" s="47">
        <f>F54*$L$7</f>
        <v>2.9996485082205788E-4</v>
      </c>
      <c r="M54" s="47">
        <f>F54*$M$7</f>
        <v>1.9997656721470526E-4</v>
      </c>
      <c r="N54" s="47">
        <f>F54*$N$7</f>
        <v>0</v>
      </c>
      <c r="O54" s="48">
        <f>F54*$O$7</f>
        <v>0</v>
      </c>
    </row>
    <row r="55" spans="1:15" ht="17" thickBot="1" x14ac:dyDescent="0.25">
      <c r="A55" s="37">
        <f>A54+$H$2</f>
        <v>11.5</v>
      </c>
      <c r="B55" s="34">
        <f t="shared" si="0"/>
        <v>2.2343299701719671E-10</v>
      </c>
      <c r="C55" s="34">
        <f t="shared" si="1"/>
        <v>9.5569295249810643E-3</v>
      </c>
      <c r="D55" s="36">
        <f t="shared" si="2"/>
        <v>3.4143331117164754E-102</v>
      </c>
      <c r="E55" s="34">
        <f t="shared" si="3"/>
        <v>8.6012367959159564E-3</v>
      </c>
      <c r="F55" s="42">
        <f>IF($E$105&gt;0, E55/$E$105, 0)</f>
        <v>8.2772589351829339E-4</v>
      </c>
      <c r="H55" s="54">
        <v>0.47916666666666702</v>
      </c>
      <c r="I55" s="47">
        <f>F55*$I$7</f>
        <v>5.794081254628053E-4</v>
      </c>
      <c r="J55" s="47">
        <f>F55*$J$7</f>
        <v>7.4495330416646406E-4</v>
      </c>
      <c r="K55" s="47">
        <f>F55*$K$7</f>
        <v>7.8633959884237873E-4</v>
      </c>
      <c r="L55" s="47">
        <f>F55*$L$7</f>
        <v>7.4495330416646406E-4</v>
      </c>
      <c r="M55" s="47">
        <f>F55*$M$7</f>
        <v>4.9663553611097597E-4</v>
      </c>
      <c r="N55" s="47">
        <f>F55*$N$7</f>
        <v>0</v>
      </c>
      <c r="O55" s="48">
        <f>F55*$O$7</f>
        <v>0</v>
      </c>
    </row>
    <row r="56" spans="1:15" ht="17" thickBot="1" x14ac:dyDescent="0.25">
      <c r="A56" s="37">
        <f>A55+$H$2</f>
        <v>11.75</v>
      </c>
      <c r="B56" s="34">
        <f t="shared" si="0"/>
        <v>5.2736750209390149E-11</v>
      </c>
      <c r="C56" s="34">
        <f t="shared" si="1"/>
        <v>2.115614481173618E-2</v>
      </c>
      <c r="D56" s="36">
        <f t="shared" si="2"/>
        <v>1.3944664092579449E-95</v>
      </c>
      <c r="E56" s="34">
        <f t="shared" si="3"/>
        <v>1.9040530383299312E-2</v>
      </c>
      <c r="F56" s="42">
        <f>IF($E$105&gt;0, E56/$E$105, 0)</f>
        <v>1.8323341629266584E-3</v>
      </c>
      <c r="H56" s="54">
        <v>0.48958333333333298</v>
      </c>
      <c r="I56" s="47">
        <f>F56*$I$7</f>
        <v>1.2826339140486608E-3</v>
      </c>
      <c r="J56" s="47">
        <f>F56*$J$7</f>
        <v>1.6491007466339926E-3</v>
      </c>
      <c r="K56" s="47">
        <f>F56*$K$7</f>
        <v>1.7407174547803255E-3</v>
      </c>
      <c r="L56" s="47">
        <f>F56*$L$7</f>
        <v>1.6491007466339926E-3</v>
      </c>
      <c r="M56" s="47">
        <f>F56*$M$7</f>
        <v>1.099400497755995E-3</v>
      </c>
      <c r="N56" s="47">
        <f>F56*$N$7</f>
        <v>0</v>
      </c>
      <c r="O56" s="48">
        <f>F56*$O$7</f>
        <v>0</v>
      </c>
    </row>
    <row r="57" spans="1:15" ht="17" thickBot="1" x14ac:dyDescent="0.25">
      <c r="A57" s="37">
        <f>A56+$H$2</f>
        <v>12</v>
      </c>
      <c r="B57" s="34">
        <f t="shared" si="0"/>
        <v>1.2269424198325414E-11</v>
      </c>
      <c r="C57" s="34">
        <f t="shared" si="1"/>
        <v>4.2032039152349925E-2</v>
      </c>
      <c r="D57" s="36">
        <f t="shared" si="2"/>
        <v>2.5126417111034142E-89</v>
      </c>
      <c r="E57" s="34">
        <f t="shared" si="3"/>
        <v>3.7828835249384352E-2</v>
      </c>
      <c r="F57" s="42">
        <f>IF($E$105&gt;0, E57/$E$105, 0)</f>
        <v>3.6403958175434156E-3</v>
      </c>
      <c r="H57" s="54">
        <v>0.5</v>
      </c>
      <c r="I57" s="47">
        <f>F57*$I$7</f>
        <v>2.5482770722803907E-3</v>
      </c>
      <c r="J57" s="47">
        <f>F57*$J$7</f>
        <v>3.2763562357890743E-3</v>
      </c>
      <c r="K57" s="47">
        <f>F57*$K$7</f>
        <v>3.4583760266662447E-3</v>
      </c>
      <c r="L57" s="47">
        <f>F57*$L$7</f>
        <v>3.2763562357890743E-3</v>
      </c>
      <c r="M57" s="47">
        <f>F57*$M$7</f>
        <v>2.1842374905260494E-3</v>
      </c>
      <c r="N57" s="47">
        <f>F57*$N$7</f>
        <v>0</v>
      </c>
      <c r="O57" s="48">
        <f>F57*$O$7</f>
        <v>0</v>
      </c>
    </row>
    <row r="58" spans="1:15" ht="17" thickBot="1" x14ac:dyDescent="0.25">
      <c r="A58" s="37">
        <f>A57+$H$2</f>
        <v>12.25</v>
      </c>
      <c r="B58" s="34">
        <f t="shared" si="0"/>
        <v>2.8179599850503646E-12</v>
      </c>
      <c r="C58" s="34">
        <f t="shared" si="1"/>
        <v>7.5421962883919433E-2</v>
      </c>
      <c r="D58" s="36">
        <f t="shared" si="2"/>
        <v>2.0870932125299663E-83</v>
      </c>
      <c r="E58" s="34">
        <f t="shared" si="3"/>
        <v>6.7879766598345451E-2</v>
      </c>
      <c r="F58" s="42">
        <f>IF($E$105&gt;0, E58/$E$105, 0)</f>
        <v>6.5322978302500504E-3</v>
      </c>
      <c r="H58" s="54">
        <v>0.51041666666666696</v>
      </c>
      <c r="I58" s="47">
        <f>F58*$I$7</f>
        <v>4.5726084811750353E-3</v>
      </c>
      <c r="J58" s="47">
        <f>F58*$J$7</f>
        <v>5.8790680472250454E-3</v>
      </c>
      <c r="K58" s="47">
        <f>F58*$K$7</f>
        <v>6.2056829387375475E-3</v>
      </c>
      <c r="L58" s="47">
        <f>F58*$L$7</f>
        <v>5.8790680472250454E-3</v>
      </c>
      <c r="M58" s="47">
        <f>F58*$M$7</f>
        <v>3.9193786981500302E-3</v>
      </c>
      <c r="N58" s="47">
        <f>F58*$N$7</f>
        <v>0</v>
      </c>
      <c r="O58" s="48">
        <f>F58*$O$7</f>
        <v>0</v>
      </c>
    </row>
    <row r="59" spans="1:15" ht="17" thickBot="1" x14ac:dyDescent="0.25">
      <c r="A59" s="37">
        <f>A58+$H$2</f>
        <v>12.5</v>
      </c>
      <c r="B59" s="34">
        <f t="shared" si="0"/>
        <v>6.3980075783131376E-13</v>
      </c>
      <c r="C59" s="34">
        <f t="shared" si="1"/>
        <v>0.12295249302516813</v>
      </c>
      <c r="D59" s="36">
        <f t="shared" si="2"/>
        <v>8.3248806054118446E-78</v>
      </c>
      <c r="E59" s="34">
        <f t="shared" si="3"/>
        <v>0.11065724372329112</v>
      </c>
      <c r="F59" s="42">
        <f>IF($E$105&gt;0, E59/$E$105, 0)</f>
        <v>1.0648918069390131E-2</v>
      </c>
      <c r="H59" s="54">
        <v>0.52083333333333304</v>
      </c>
      <c r="I59" s="47">
        <f>F59*$I$7</f>
        <v>7.4542426485730909E-3</v>
      </c>
      <c r="J59" s="47">
        <f>F59*$J$7</f>
        <v>9.5840262624511188E-3</v>
      </c>
      <c r="K59" s="47">
        <f>F59*$K$7</f>
        <v>1.0116472165920624E-2</v>
      </c>
      <c r="L59" s="47">
        <f>F59*$L$7</f>
        <v>9.5840262624511188E-3</v>
      </c>
      <c r="M59" s="47">
        <f>F59*$M$7</f>
        <v>6.3893508416340786E-3</v>
      </c>
      <c r="N59" s="47">
        <f>F59*$N$7</f>
        <v>0</v>
      </c>
      <c r="O59" s="48">
        <f>F59*$O$7</f>
        <v>0</v>
      </c>
    </row>
    <row r="60" spans="1:15" ht="17" thickBot="1" x14ac:dyDescent="0.25">
      <c r="A60" s="37">
        <f>A59+$H$2</f>
        <v>12.75</v>
      </c>
      <c r="B60" s="34">
        <f t="shared" si="0"/>
        <v>1.4378155666460619E-13</v>
      </c>
      <c r="C60" s="34">
        <f t="shared" si="1"/>
        <v>0.18309074163917236</v>
      </c>
      <c r="D60" s="36">
        <f t="shared" si="2"/>
        <v>1.6563754939193168E-72</v>
      </c>
      <c r="E60" s="34">
        <f t="shared" si="3"/>
        <v>0.16478166747539891</v>
      </c>
      <c r="F60" s="42">
        <f>IF($E$105&gt;0, E60/$E$105, 0)</f>
        <v>1.5857493077189963E-2</v>
      </c>
      <c r="H60" s="54">
        <v>0.53125</v>
      </c>
      <c r="I60" s="47">
        <f>F60*$I$7</f>
        <v>1.1100245154032974E-2</v>
      </c>
      <c r="J60" s="47">
        <f>F60*$J$7</f>
        <v>1.4271743769470968E-2</v>
      </c>
      <c r="K60" s="47">
        <f>F60*$K$7</f>
        <v>1.5064618423330465E-2</v>
      </c>
      <c r="L60" s="47">
        <f>F60*$L$7</f>
        <v>1.4271743769470968E-2</v>
      </c>
      <c r="M60" s="47">
        <f>F60*$M$7</f>
        <v>9.5144958463139768E-3</v>
      </c>
      <c r="N60" s="47">
        <f>F60*$N$7</f>
        <v>0</v>
      </c>
      <c r="O60" s="48">
        <f>F60*$O$7</f>
        <v>0</v>
      </c>
    </row>
    <row r="61" spans="1:15" ht="17" thickBot="1" x14ac:dyDescent="0.25">
      <c r="A61" s="37">
        <f>A60+$H$2</f>
        <v>13</v>
      </c>
      <c r="B61" s="34">
        <f t="shared" si="0"/>
        <v>3.2019446902336121E-14</v>
      </c>
      <c r="C61" s="34">
        <f t="shared" si="1"/>
        <v>0.25031500021358821</v>
      </c>
      <c r="D61" s="36">
        <f t="shared" si="2"/>
        <v>1.7033010354259503E-67</v>
      </c>
      <c r="E61" s="34">
        <f t="shared" si="3"/>
        <v>0.22528350019226143</v>
      </c>
      <c r="F61" s="42">
        <f>IF($E$105&gt;0, E61/$E$105, 0)</f>
        <v>2.1679787560331953E-2</v>
      </c>
      <c r="H61" s="54">
        <v>0.54166666666666696</v>
      </c>
      <c r="I61" s="47">
        <f>F61*$I$7</f>
        <v>1.5175851292232366E-2</v>
      </c>
      <c r="J61" s="47">
        <f>F61*$J$7</f>
        <v>1.9511808804298758E-2</v>
      </c>
      <c r="K61" s="47">
        <f>F61*$K$7</f>
        <v>2.0595798182315356E-2</v>
      </c>
      <c r="L61" s="47">
        <f>F61*$L$7</f>
        <v>1.9511808804298758E-2</v>
      </c>
      <c r="M61" s="47">
        <f>F61*$M$7</f>
        <v>1.3007872536199172E-2</v>
      </c>
      <c r="N61" s="47">
        <f>F61*$N$7</f>
        <v>0</v>
      </c>
      <c r="O61" s="48">
        <f>F61*$O$7</f>
        <v>0</v>
      </c>
    </row>
    <row r="62" spans="1:15" ht="17" thickBot="1" x14ac:dyDescent="0.25">
      <c r="A62" s="37">
        <f>A61+$H$2</f>
        <v>13.25</v>
      </c>
      <c r="B62" s="34">
        <f t="shared" si="0"/>
        <v>7.0735776066208967E-15</v>
      </c>
      <c r="C62" s="34">
        <f t="shared" si="1"/>
        <v>0.31568170013438468</v>
      </c>
      <c r="D62" s="36">
        <f t="shared" si="2"/>
        <v>9.3575860996762894E-63</v>
      </c>
      <c r="E62" s="34">
        <f t="shared" si="3"/>
        <v>0.28411353012095325</v>
      </c>
      <c r="F62" s="42">
        <f>IF($E$105&gt;0, E62/$E$105, 0)</f>
        <v>2.7341198848480169E-2</v>
      </c>
      <c r="H62" s="54">
        <v>0.55208333333333304</v>
      </c>
      <c r="I62" s="47">
        <f>F62*$I$7</f>
        <v>1.9138839193936118E-2</v>
      </c>
      <c r="J62" s="47">
        <f>F62*$J$7</f>
        <v>2.4607078963632151E-2</v>
      </c>
      <c r="K62" s="47">
        <f>F62*$K$7</f>
        <v>2.5974138906056158E-2</v>
      </c>
      <c r="L62" s="47">
        <f>F62*$L$7</f>
        <v>2.4607078963632151E-2</v>
      </c>
      <c r="M62" s="47">
        <f>F62*$M$7</f>
        <v>1.64047193090881E-2</v>
      </c>
      <c r="N62" s="47">
        <f>F62*$N$7</f>
        <v>0</v>
      </c>
      <c r="O62" s="48">
        <f>F62*$O$7</f>
        <v>0</v>
      </c>
    </row>
    <row r="63" spans="1:15" ht="17" thickBot="1" x14ac:dyDescent="0.25">
      <c r="A63" s="37">
        <f>A62+$H$2</f>
        <v>13.5</v>
      </c>
      <c r="B63" s="34">
        <f t="shared" si="0"/>
        <v>1.5516866345133395E-15</v>
      </c>
      <c r="C63" s="34">
        <f t="shared" si="1"/>
        <v>0.36886375492999252</v>
      </c>
      <c r="D63" s="36">
        <f t="shared" si="2"/>
        <v>2.8328835400615638E-58</v>
      </c>
      <c r="E63" s="34">
        <f t="shared" si="3"/>
        <v>0.33197737943699485</v>
      </c>
      <c r="F63" s="42">
        <f>IF($E$105&gt;0, E63/$E$105, 0)</f>
        <v>3.1947297759878236E-2</v>
      </c>
      <c r="H63" s="54">
        <v>0.5625</v>
      </c>
      <c r="I63" s="47">
        <f>F63*$I$7</f>
        <v>2.2363108431914764E-2</v>
      </c>
      <c r="J63" s="47">
        <f>F63*$J$7</f>
        <v>2.8752567983890413E-2</v>
      </c>
      <c r="K63" s="47">
        <f>F63*$K$7</f>
        <v>3.0349932871884321E-2</v>
      </c>
      <c r="L63" s="47">
        <f>F63*$L$7</f>
        <v>2.8752567983890413E-2</v>
      </c>
      <c r="M63" s="47">
        <f>F63*$M$7</f>
        <v>1.9168378655926941E-2</v>
      </c>
      <c r="N63" s="47">
        <f>F63*$N$7</f>
        <v>0</v>
      </c>
      <c r="O63" s="48">
        <f>F63*$O$7</f>
        <v>0</v>
      </c>
    </row>
    <row r="64" spans="1:15" ht="17" thickBot="1" x14ac:dyDescent="0.25">
      <c r="A64" s="37">
        <f>A63+$H$2</f>
        <v>13.75</v>
      </c>
      <c r="B64" s="34">
        <f t="shared" si="0"/>
        <v>3.3829794040143714E-16</v>
      </c>
      <c r="C64" s="34">
        <f t="shared" si="1"/>
        <v>0.4009788648332383</v>
      </c>
      <c r="D64" s="36">
        <f t="shared" si="2"/>
        <v>4.8649578874310587E-54</v>
      </c>
      <c r="E64" s="34">
        <f t="shared" si="3"/>
        <v>0.36088097834991484</v>
      </c>
      <c r="F64" s="42">
        <f>IF($E$105&gt;0, E64/$E$105, 0)</f>
        <v>3.4728788120363459E-2</v>
      </c>
      <c r="H64" s="54">
        <v>0.57291666666666696</v>
      </c>
      <c r="I64" s="47">
        <f>F64*$I$7</f>
        <v>2.4310151684254419E-2</v>
      </c>
      <c r="J64" s="47">
        <f>F64*$J$7</f>
        <v>3.1255909308327112E-2</v>
      </c>
      <c r="K64" s="47">
        <f>F64*$K$7</f>
        <v>3.2992348714345282E-2</v>
      </c>
      <c r="L64" s="47">
        <f>F64*$L$7</f>
        <v>3.1255909308327112E-2</v>
      </c>
      <c r="M64" s="47">
        <f>F64*$M$7</f>
        <v>2.0837272872218076E-2</v>
      </c>
      <c r="N64" s="47">
        <f>F64*$N$7</f>
        <v>0</v>
      </c>
      <c r="O64" s="48">
        <f>F64*$O$7</f>
        <v>0</v>
      </c>
    </row>
    <row r="65" spans="1:15" ht="17" thickBot="1" x14ac:dyDescent="0.25">
      <c r="A65" s="37">
        <f>A64+$H$2</f>
        <v>14</v>
      </c>
      <c r="B65" s="34">
        <f>IF(A65&gt;0,_xlfn.LOGNORM.DIST(A65,$B$2,$B$3,FALSE),0)</f>
        <v>7.3364318484197235E-17</v>
      </c>
      <c r="C65" s="34">
        <f>IF(A65&gt;0,_xlfn.LOGNORM.DIST(A65,$D$2,$D$3,FALSE),0)</f>
        <v>0.40708395959329868</v>
      </c>
      <c r="D65" s="36">
        <f t="shared" si="2"/>
        <v>4.8698616392239924E-50</v>
      </c>
      <c r="E65" s="34">
        <f t="shared" si="3"/>
        <v>0.36637556363396889</v>
      </c>
      <c r="F65" s="42">
        <f>IF($E$105&gt;0, E65/$E$105, 0)</f>
        <v>3.5257550509037103E-2</v>
      </c>
      <c r="H65" s="54">
        <v>0.58333333333333304</v>
      </c>
      <c r="I65" s="47">
        <f>F65*$I$7</f>
        <v>2.4680285356325972E-2</v>
      </c>
      <c r="J65" s="47">
        <f>F65*$J$7</f>
        <v>3.1731795458133392E-2</v>
      </c>
      <c r="K65" s="47">
        <f>F65*$K$7</f>
        <v>3.3494672983585244E-2</v>
      </c>
      <c r="L65" s="47">
        <f>F65*$L$7</f>
        <v>3.1731795458133392E-2</v>
      </c>
      <c r="M65" s="47">
        <f>F65*$M$7</f>
        <v>2.1154530305422262E-2</v>
      </c>
      <c r="N65" s="47">
        <f>F65*$N$7</f>
        <v>0</v>
      </c>
      <c r="O65" s="48">
        <f>F65*$O$7</f>
        <v>0</v>
      </c>
    </row>
    <row r="66" spans="1:15" ht="17" thickBot="1" x14ac:dyDescent="0.25">
      <c r="A66" s="37">
        <f>A65+$H$2</f>
        <v>14.25</v>
      </c>
      <c r="B66" s="34">
        <f t="shared" si="0"/>
        <v>1.5837696994395575E-17</v>
      </c>
      <c r="C66" s="34">
        <f t="shared" ref="C66:C87" si="4">IF(A66&gt;0,_xlfn.LOGNORM.DIST(A66,$D$2,$D$3,FALSE),0)</f>
        <v>0.38735943564058861</v>
      </c>
      <c r="D66" s="36">
        <f t="shared" si="2"/>
        <v>2.9148322692546734E-46</v>
      </c>
      <c r="E66" s="34">
        <f t="shared" si="3"/>
        <v>0.34862349207652976</v>
      </c>
      <c r="F66" s="42">
        <f>IF($E$105&gt;0, E66/$E$105, 0)</f>
        <v>3.3549209064623088E-2</v>
      </c>
      <c r="H66" s="54">
        <v>0.59375</v>
      </c>
      <c r="I66" s="47">
        <f>F66*$I$7</f>
        <v>2.3484446345236162E-2</v>
      </c>
      <c r="J66" s="47">
        <f>F66*$J$7</f>
        <v>3.0194288158160779E-2</v>
      </c>
      <c r="K66" s="47">
        <f>F66*$K$7</f>
        <v>3.1871748611391935E-2</v>
      </c>
      <c r="L66" s="47">
        <f>F66*$L$7</f>
        <v>3.0194288158160779E-2</v>
      </c>
      <c r="M66" s="47">
        <f>F66*$M$7</f>
        <v>2.0129525438773853E-2</v>
      </c>
      <c r="N66" s="47">
        <f>F66*$N$7</f>
        <v>0</v>
      </c>
      <c r="O66" s="48">
        <f>F66*$O$7</f>
        <v>0</v>
      </c>
    </row>
    <row r="67" spans="1:15" ht="17" thickBot="1" x14ac:dyDescent="0.25">
      <c r="A67" s="37">
        <f>A66+$H$2</f>
        <v>14.5</v>
      </c>
      <c r="B67" s="34">
        <f t="shared" si="0"/>
        <v>3.4058560499794201E-18</v>
      </c>
      <c r="C67" s="34">
        <f t="shared" si="4"/>
        <v>0.34663591679066696</v>
      </c>
      <c r="D67" s="36">
        <f t="shared" si="2"/>
        <v>1.068485829216859E-42</v>
      </c>
      <c r="E67" s="34">
        <f t="shared" si="3"/>
        <v>0.31197232511160028</v>
      </c>
      <c r="F67" s="42">
        <f>IF($E$105&gt;0, E67/$E$105, 0)</f>
        <v>3.0022144219839477E-2</v>
      </c>
      <c r="H67" s="54">
        <v>0.60416666666666696</v>
      </c>
      <c r="I67" s="47">
        <f>F67*$I$7</f>
        <v>2.1015500953887632E-2</v>
      </c>
      <c r="J67" s="47">
        <f>F67*$J$7</f>
        <v>2.701992979785553E-2</v>
      </c>
      <c r="K67" s="47">
        <f>F67*$K$7</f>
        <v>2.8521037008847502E-2</v>
      </c>
      <c r="L67" s="47">
        <f>F67*$L$7</f>
        <v>2.701992979785553E-2</v>
      </c>
      <c r="M67" s="47">
        <f>F67*$M$7</f>
        <v>1.8013286531903684E-2</v>
      </c>
      <c r="N67" s="47">
        <f>F67*$N$7</f>
        <v>0</v>
      </c>
      <c r="O67" s="48">
        <f>F67*$O$7</f>
        <v>0</v>
      </c>
    </row>
    <row r="68" spans="1:15" ht="17" thickBot="1" x14ac:dyDescent="0.25">
      <c r="A68" s="37">
        <f>A67+$H$2</f>
        <v>14.75</v>
      </c>
      <c r="B68" s="34">
        <f t="shared" si="0"/>
        <v>7.3007836444147266E-19</v>
      </c>
      <c r="C68" s="34">
        <f t="shared" si="4"/>
        <v>0.2926392300527057</v>
      </c>
      <c r="D68" s="36">
        <f t="shared" si="2"/>
        <v>2.4533447346640448E-39</v>
      </c>
      <c r="E68" s="34">
        <f t="shared" si="3"/>
        <v>0.26337530704743511</v>
      </c>
      <c r="F68" s="42">
        <f>IF($E$105&gt;0, E68/$E$105, 0)</f>
        <v>2.5345490018366335E-2</v>
      </c>
      <c r="H68" s="54">
        <v>0.61458333333333304</v>
      </c>
      <c r="I68" s="47">
        <f>F68*$I$7</f>
        <v>1.7741843012856431E-2</v>
      </c>
      <c r="J68" s="47">
        <f>F68*$J$7</f>
        <v>2.2810941016529702E-2</v>
      </c>
      <c r="K68" s="47">
        <f>F68*$K$7</f>
        <v>2.4078215517448015E-2</v>
      </c>
      <c r="L68" s="47">
        <f>F68*$L$7</f>
        <v>2.2810941016529702E-2</v>
      </c>
      <c r="M68" s="47">
        <f>F68*$M$7</f>
        <v>1.5207294011019799E-2</v>
      </c>
      <c r="N68" s="47">
        <f>F68*$N$7</f>
        <v>0</v>
      </c>
      <c r="O68" s="48">
        <f>F68*$O$7</f>
        <v>0</v>
      </c>
    </row>
    <row r="69" spans="1:15" ht="17" thickBot="1" x14ac:dyDescent="0.25">
      <c r="A69" s="37">
        <f>A68+$H$2</f>
        <v>15</v>
      </c>
      <c r="B69" s="34">
        <f t="shared" si="0"/>
        <v>1.5609238533379323E-19</v>
      </c>
      <c r="C69" s="34">
        <f t="shared" si="4"/>
        <v>0.2337636660849258</v>
      </c>
      <c r="D69" s="36">
        <f t="shared" si="2"/>
        <v>3.6039868247812393E-36</v>
      </c>
      <c r="E69" s="34">
        <f t="shared" si="3"/>
        <v>0.21038729947643323</v>
      </c>
      <c r="F69" s="42">
        <f>IF($E$105&gt;0, E69/$E$105, 0)</f>
        <v>2.0246276154926714E-2</v>
      </c>
      <c r="H69" s="54">
        <v>0.625</v>
      </c>
      <c r="I69" s="47">
        <f>F69*$I$7</f>
        <v>1.4172393308448699E-2</v>
      </c>
      <c r="J69" s="47">
        <f>F69*$J$7</f>
        <v>1.8221648539434043E-2</v>
      </c>
      <c r="K69" s="47">
        <f>F69*$K$7</f>
        <v>1.9233962347180378E-2</v>
      </c>
      <c r="L69" s="47">
        <f>F69*$L$7</f>
        <v>1.8221648539434043E-2</v>
      </c>
      <c r="M69" s="47">
        <f>F69*$M$7</f>
        <v>1.2147765692956029E-2</v>
      </c>
      <c r="N69" s="47">
        <f>F69*$N$7</f>
        <v>0</v>
      </c>
      <c r="O69" s="48">
        <f>F69*$O$7</f>
        <v>0</v>
      </c>
    </row>
    <row r="70" spans="1:15" ht="17" thickBot="1" x14ac:dyDescent="0.25">
      <c r="A70" s="37">
        <f>A69+$H$2</f>
        <v>15.25</v>
      </c>
      <c r="B70" s="34">
        <f t="shared" si="0"/>
        <v>3.3304523690215163E-20</v>
      </c>
      <c r="C70" s="34">
        <f t="shared" si="4"/>
        <v>0.17718005015654964</v>
      </c>
      <c r="D70" s="36">
        <f t="shared" si="2"/>
        <v>3.4554835507085501E-33</v>
      </c>
      <c r="E70" s="34">
        <f t="shared" si="3"/>
        <v>0.15946204514089468</v>
      </c>
      <c r="F70" s="42">
        <f>IF($E$105&gt;0, E70/$E$105, 0)</f>
        <v>1.534556796054882E-2</v>
      </c>
      <c r="H70" s="54">
        <v>0.63541666666666696</v>
      </c>
      <c r="I70" s="47">
        <f>F70*$I$7</f>
        <v>1.0741897572384173E-2</v>
      </c>
      <c r="J70" s="47">
        <f>F70*$J$7</f>
        <v>1.3811011164493939E-2</v>
      </c>
      <c r="K70" s="47">
        <f>F70*$K$7</f>
        <v>1.4578289562521378E-2</v>
      </c>
      <c r="L70" s="47">
        <f>F70*$L$7</f>
        <v>1.3811011164493939E-2</v>
      </c>
      <c r="M70" s="47">
        <f>F70*$M$7</f>
        <v>9.2073407763292921E-3</v>
      </c>
      <c r="N70" s="47">
        <f>F70*$N$7</f>
        <v>0</v>
      </c>
      <c r="O70" s="48">
        <f>F70*$O$7</f>
        <v>0</v>
      </c>
    </row>
    <row r="71" spans="1:15" ht="17" thickBot="1" x14ac:dyDescent="0.25">
      <c r="A71" s="37">
        <f>A70+$H$2</f>
        <v>15.5</v>
      </c>
      <c r="B71" s="34">
        <f t="shared" si="0"/>
        <v>7.0950582708712994E-21</v>
      </c>
      <c r="C71" s="34">
        <f t="shared" si="4"/>
        <v>0.12775607648306445</v>
      </c>
      <c r="D71" s="36">
        <f t="shared" si="2"/>
        <v>2.2034652873441185E-30</v>
      </c>
      <c r="E71" s="34">
        <f t="shared" si="3"/>
        <v>0.114980468834758</v>
      </c>
      <c r="F71" s="42">
        <f>IF($E$105&gt;0, E71/$E$105, 0)</f>
        <v>1.1064956536087011E-2</v>
      </c>
      <c r="H71" s="54">
        <v>0.64583333333333304</v>
      </c>
      <c r="I71" s="47">
        <f>F71*$I$7</f>
        <v>7.7454695752609071E-3</v>
      </c>
      <c r="J71" s="47">
        <f>F71*$J$7</f>
        <v>9.9584608824783098E-3</v>
      </c>
      <c r="K71" s="47">
        <f>F71*$K$7</f>
        <v>1.051170870928266E-2</v>
      </c>
      <c r="L71" s="47">
        <f>F71*$L$7</f>
        <v>9.9584608824783098E-3</v>
      </c>
      <c r="M71" s="47">
        <f>F71*$M$7</f>
        <v>6.6389739216522062E-3</v>
      </c>
      <c r="N71" s="47">
        <f>F71*$N$7</f>
        <v>0</v>
      </c>
      <c r="O71" s="48">
        <f>F71*$O$7</f>
        <v>0</v>
      </c>
    </row>
    <row r="72" spans="1:15" ht="17" thickBot="1" x14ac:dyDescent="0.25">
      <c r="A72" s="37">
        <f>A71+$H$2</f>
        <v>15.75</v>
      </c>
      <c r="B72" s="34">
        <f t="shared" si="0"/>
        <v>1.5098893227946114E-21</v>
      </c>
      <c r="C72" s="34">
        <f t="shared" si="4"/>
        <v>8.7850819510403647E-2</v>
      </c>
      <c r="D72" s="36">
        <f t="shared" si="2"/>
        <v>9.5123050041383622E-28</v>
      </c>
      <c r="E72" s="34">
        <f t="shared" si="3"/>
        <v>7.9065737559363289E-2</v>
      </c>
      <c r="F72" s="42">
        <f>IF($E$105&gt;0, E72/$E$105, 0)</f>
        <v>7.6087613701184675E-3</v>
      </c>
      <c r="H72" s="54">
        <v>0.65625</v>
      </c>
      <c r="I72" s="47">
        <f>F72*$I$7</f>
        <v>5.3261329590829267E-3</v>
      </c>
      <c r="J72" s="47">
        <f>F72*$J$7</f>
        <v>6.8478852331066205E-3</v>
      </c>
      <c r="K72" s="47">
        <f>F72*$K$7</f>
        <v>7.228323301612544E-3</v>
      </c>
      <c r="L72" s="47">
        <f>F72*$L$7</f>
        <v>6.8478852331066205E-3</v>
      </c>
      <c r="M72" s="47">
        <f>F72*$M$7</f>
        <v>4.5652568220710807E-3</v>
      </c>
      <c r="N72" s="47">
        <f>F72*$N$7</f>
        <v>0</v>
      </c>
      <c r="O72" s="48">
        <f>F72*$O$7</f>
        <v>0</v>
      </c>
    </row>
    <row r="73" spans="1:15" ht="17" thickBot="1" x14ac:dyDescent="0.25">
      <c r="A73" s="37">
        <f>A72+$H$2</f>
        <v>16</v>
      </c>
      <c r="B73" s="34">
        <f t="shared" si="0"/>
        <v>3.2111486410611336E-22</v>
      </c>
      <c r="C73" s="34">
        <f t="shared" si="4"/>
        <v>5.7744940333000143E-2</v>
      </c>
      <c r="D73" s="36">
        <f t="shared" si="2"/>
        <v>2.8270259694301012E-25</v>
      </c>
      <c r="E73" s="34">
        <f t="shared" si="3"/>
        <v>5.1970446299700129E-2</v>
      </c>
      <c r="F73" s="42">
        <f>IF($E$105&gt;0, E73/$E$105, 0)</f>
        <v>5.0012905260775125E-3</v>
      </c>
      <c r="H73" s="54">
        <v>0.66666666666666696</v>
      </c>
      <c r="I73" s="47">
        <f>F73*$I$7</f>
        <v>3.5009033682542583E-3</v>
      </c>
      <c r="J73" s="47">
        <f>F73*$J$7</f>
        <v>4.5011614734697617E-3</v>
      </c>
      <c r="K73" s="47">
        <f>F73*$K$7</f>
        <v>4.7512259997736367E-3</v>
      </c>
      <c r="L73" s="47">
        <f>F73*$L$7</f>
        <v>4.5011614734697617E-3</v>
      </c>
      <c r="M73" s="47">
        <f>F73*$M$7</f>
        <v>3.0007743156465075E-3</v>
      </c>
      <c r="N73" s="47">
        <f>F73*$N$7</f>
        <v>0</v>
      </c>
      <c r="O73" s="48">
        <f>F73*$O$7</f>
        <v>0</v>
      </c>
    </row>
    <row r="74" spans="1:15" ht="17" thickBot="1" x14ac:dyDescent="0.25">
      <c r="A74" s="37">
        <f>A73+$H$2</f>
        <v>16.25</v>
      </c>
      <c r="B74" s="34">
        <f t="shared" ref="B74:B87" si="5">IF(A74&gt;0,_xlfn.LOGNORM.DIST(A74,$B$2,$B$3,FALSE),0)</f>
        <v>6.8277463233307641E-23</v>
      </c>
      <c r="C74" s="34">
        <f t="shared" si="4"/>
        <v>3.6360887749976714E-2</v>
      </c>
      <c r="D74" s="36">
        <f t="shared" ref="D74:D104" si="6">IF(A74&gt;0,_xlfn.LOGNORM.DIST(A74,$F$2,$F$3,FALSE),0)</f>
        <v>5.8765440181369333E-23</v>
      </c>
      <c r="E74" s="34">
        <f t="shared" ref="E74:E104" si="7">$B$4*B74 + $D$4*C74 +$F$4*D74</f>
        <v>3.2724798974979041E-2</v>
      </c>
      <c r="F74" s="42">
        <f t="shared" ref="F74:F104" si="8">IF($E$105&gt;0, E74/$E$105, 0)</f>
        <v>3.1492172712455258E-3</v>
      </c>
      <c r="H74" s="54">
        <v>0.67708333333333304</v>
      </c>
      <c r="I74" s="47">
        <f t="shared" ref="I74:I104" si="9">F74*$I$7</f>
        <v>2.2044520898718677E-3</v>
      </c>
      <c r="J74" s="47">
        <f t="shared" ref="J74:J104" si="10">F74*$J$7</f>
        <v>2.8342955441209732E-3</v>
      </c>
      <c r="K74" s="47">
        <f t="shared" ref="K74:K104" si="11">F74*$K$7</f>
        <v>2.9917564076832495E-3</v>
      </c>
      <c r="L74" s="47">
        <f t="shared" ref="L74:L104" si="12">F74*$L$7</f>
        <v>2.8342955441209732E-3</v>
      </c>
      <c r="M74" s="47">
        <f t="shared" ref="M74:M104" si="13">F74*$M$7</f>
        <v>1.8895303627473154E-3</v>
      </c>
      <c r="N74" s="47">
        <f t="shared" ref="N74:N104" si="14">F74*$N$7</f>
        <v>0</v>
      </c>
      <c r="O74" s="48">
        <f t="shared" ref="O74:O104" si="15">F74*$O$7</f>
        <v>0</v>
      </c>
    </row>
    <row r="75" spans="1:15" ht="17" thickBot="1" x14ac:dyDescent="0.25">
      <c r="A75" s="37">
        <f>A74+$H$2</f>
        <v>16.5</v>
      </c>
      <c r="B75" s="34">
        <f t="shared" si="5"/>
        <v>1.451972667673794E-23</v>
      </c>
      <c r="C75" s="34">
        <f t="shared" si="4"/>
        <v>2.1978710785418552E-2</v>
      </c>
      <c r="D75" s="36">
        <f t="shared" si="6"/>
        <v>8.6731027358332082E-21</v>
      </c>
      <c r="E75" s="34">
        <f t="shared" si="7"/>
        <v>1.9780839706876698E-2</v>
      </c>
      <c r="F75" s="42">
        <f t="shared" si="8"/>
        <v>1.9035766145504727E-3</v>
      </c>
      <c r="H75" s="54">
        <v>0.6875</v>
      </c>
      <c r="I75" s="47">
        <f t="shared" si="9"/>
        <v>1.3325036301853309E-3</v>
      </c>
      <c r="J75" s="47">
        <f t="shared" si="10"/>
        <v>1.7132189530954256E-3</v>
      </c>
      <c r="K75" s="47">
        <f t="shared" si="11"/>
        <v>1.808397783822949E-3</v>
      </c>
      <c r="L75" s="47">
        <f t="shared" si="12"/>
        <v>1.7132189530954256E-3</v>
      </c>
      <c r="M75" s="47">
        <f t="shared" si="13"/>
        <v>1.1421459687302835E-3</v>
      </c>
      <c r="N75" s="47">
        <f t="shared" si="14"/>
        <v>0</v>
      </c>
      <c r="O75" s="48">
        <f t="shared" si="15"/>
        <v>0</v>
      </c>
    </row>
    <row r="76" spans="1:15" ht="17" thickBot="1" x14ac:dyDescent="0.25">
      <c r="A76" s="37">
        <f>A75+$H$2</f>
        <v>16.75</v>
      </c>
      <c r="B76" s="34">
        <f t="shared" si="5"/>
        <v>3.0892562773230499E-24</v>
      </c>
      <c r="C76" s="34">
        <f t="shared" si="4"/>
        <v>1.2777969248094765E-2</v>
      </c>
      <c r="D76" s="36">
        <f t="shared" si="6"/>
        <v>9.2183404905794211E-19</v>
      </c>
      <c r="E76" s="34">
        <f t="shared" si="7"/>
        <v>1.1500172323285289E-2</v>
      </c>
      <c r="F76" s="42">
        <f t="shared" si="8"/>
        <v>1.1067001918172367E-3</v>
      </c>
      <c r="H76" s="54">
        <v>0.69791666666666696</v>
      </c>
      <c r="I76" s="47">
        <f t="shared" si="9"/>
        <v>7.7469013427206566E-4</v>
      </c>
      <c r="J76" s="47">
        <f t="shared" si="10"/>
        <v>9.9603017263551305E-4</v>
      </c>
      <c r="K76" s="47">
        <f t="shared" si="11"/>
        <v>1.0513651822263749E-3</v>
      </c>
      <c r="L76" s="47">
        <f t="shared" si="12"/>
        <v>9.9603017263551305E-4</v>
      </c>
      <c r="M76" s="47">
        <f t="shared" si="13"/>
        <v>6.6402011509034207E-4</v>
      </c>
      <c r="N76" s="47">
        <f t="shared" si="14"/>
        <v>0</v>
      </c>
      <c r="O76" s="48">
        <f t="shared" si="15"/>
        <v>0</v>
      </c>
    </row>
    <row r="77" spans="1:15" ht="17" thickBot="1" x14ac:dyDescent="0.25">
      <c r="A77" s="37">
        <f>A76+$H$2</f>
        <v>17</v>
      </c>
      <c r="B77" s="34">
        <f t="shared" si="5"/>
        <v>6.5781389491395262E-25</v>
      </c>
      <c r="C77" s="34">
        <f t="shared" si="4"/>
        <v>7.1583241290596004E-3</v>
      </c>
      <c r="D77" s="36">
        <f t="shared" si="6"/>
        <v>7.1515208719489857E-17</v>
      </c>
      <c r="E77" s="34">
        <f t="shared" si="7"/>
        <v>6.4424917161536909E-3</v>
      </c>
      <c r="F77" s="42">
        <f t="shared" si="8"/>
        <v>6.1998260700944232E-4</v>
      </c>
      <c r="H77" s="54">
        <v>0.70833333333333304</v>
      </c>
      <c r="I77" s="47">
        <f t="shared" si="9"/>
        <v>4.3398782490660959E-4</v>
      </c>
      <c r="J77" s="47">
        <f t="shared" si="10"/>
        <v>5.5798434630849813E-4</v>
      </c>
      <c r="K77" s="47">
        <f t="shared" si="11"/>
        <v>5.8898347665897017E-4</v>
      </c>
      <c r="L77" s="47">
        <f t="shared" si="12"/>
        <v>5.5798434630849813E-4</v>
      </c>
      <c r="M77" s="47">
        <f t="shared" si="13"/>
        <v>3.719895642056654E-4</v>
      </c>
      <c r="N77" s="47">
        <f t="shared" si="14"/>
        <v>0</v>
      </c>
      <c r="O77" s="48">
        <f t="shared" si="15"/>
        <v>0</v>
      </c>
    </row>
    <row r="78" spans="1:15" ht="17" thickBot="1" x14ac:dyDescent="0.25">
      <c r="A78" s="37">
        <f>A77+$H$2</f>
        <v>17.25</v>
      </c>
      <c r="B78" s="34">
        <f t="shared" si="5"/>
        <v>1.4022796050358329E-25</v>
      </c>
      <c r="C78" s="34">
        <f t="shared" si="4"/>
        <v>3.8708400331408559E-3</v>
      </c>
      <c r="D78" s="36">
        <f t="shared" si="6"/>
        <v>4.1015726755251002E-15</v>
      </c>
      <c r="E78" s="34">
        <f t="shared" si="7"/>
        <v>3.4837560298296415E-3</v>
      </c>
      <c r="F78" s="42">
        <f t="shared" si="8"/>
        <v>3.352535386491943E-4</v>
      </c>
      <c r="H78" s="54">
        <v>0.71875</v>
      </c>
      <c r="I78" s="47">
        <f t="shared" si="9"/>
        <v>2.34677477054436E-4</v>
      </c>
      <c r="J78" s="47">
        <f t="shared" si="10"/>
        <v>3.0172818478427487E-4</v>
      </c>
      <c r="K78" s="47">
        <f t="shared" si="11"/>
        <v>3.1849086171673458E-4</v>
      </c>
      <c r="L78" s="47">
        <f t="shared" si="12"/>
        <v>3.0172818478427487E-4</v>
      </c>
      <c r="M78" s="47">
        <f t="shared" si="13"/>
        <v>2.0115212318951657E-4</v>
      </c>
      <c r="N78" s="47">
        <f t="shared" si="14"/>
        <v>0</v>
      </c>
      <c r="O78" s="48">
        <f t="shared" si="15"/>
        <v>0</v>
      </c>
    </row>
    <row r="79" spans="1:15" ht="17" thickBot="1" x14ac:dyDescent="0.25">
      <c r="A79" s="37">
        <f>A78+$H$2</f>
        <v>17.5</v>
      </c>
      <c r="B79" s="34">
        <f t="shared" si="5"/>
        <v>2.993422262975711E-26</v>
      </c>
      <c r="C79" s="34">
        <f t="shared" si="4"/>
        <v>2.0237515548681474E-3</v>
      </c>
      <c r="D79" s="36">
        <f t="shared" si="6"/>
        <v>1.7602095676557761E-13</v>
      </c>
      <c r="E79" s="34">
        <f t="shared" si="7"/>
        <v>1.8213763995045473E-3</v>
      </c>
      <c r="F79" s="42">
        <f t="shared" si="8"/>
        <v>1.7527716577095902E-4</v>
      </c>
      <c r="H79" s="54">
        <v>0.72916666666666696</v>
      </c>
      <c r="I79" s="47">
        <f t="shared" si="9"/>
        <v>1.2269401603967131E-4</v>
      </c>
      <c r="J79" s="47">
        <f t="shared" si="10"/>
        <v>1.5774944919386312E-4</v>
      </c>
      <c r="K79" s="47">
        <f t="shared" si="11"/>
        <v>1.6651330748241106E-4</v>
      </c>
      <c r="L79" s="47">
        <f t="shared" si="12"/>
        <v>1.5774944919386312E-4</v>
      </c>
      <c r="M79" s="47">
        <f t="shared" si="13"/>
        <v>1.0516629946257541E-4</v>
      </c>
      <c r="N79" s="47">
        <f t="shared" si="14"/>
        <v>0</v>
      </c>
      <c r="O79" s="48">
        <f t="shared" si="15"/>
        <v>0</v>
      </c>
    </row>
    <row r="80" spans="1:15" ht="17" thickBot="1" x14ac:dyDescent="0.25">
      <c r="A80" s="37">
        <f>A79+$H$2</f>
        <v>17.75</v>
      </c>
      <c r="B80" s="34">
        <f t="shared" si="5"/>
        <v>6.4004960579893406E-27</v>
      </c>
      <c r="C80" s="34">
        <f t="shared" si="4"/>
        <v>1.0245732282241342E-3</v>
      </c>
      <c r="D80" s="36">
        <f t="shared" si="6"/>
        <v>5.7178213998352077E-12</v>
      </c>
      <c r="E80" s="34">
        <f t="shared" si="7"/>
        <v>9.2211590940419587E-4</v>
      </c>
      <c r="F80" s="42">
        <f t="shared" si="8"/>
        <v>8.8738309751154959E-5</v>
      </c>
      <c r="H80" s="54">
        <v>0.73958333333333304</v>
      </c>
      <c r="I80" s="47">
        <f t="shared" si="9"/>
        <v>6.2116816825808462E-5</v>
      </c>
      <c r="J80" s="47">
        <f t="shared" si="10"/>
        <v>7.9864478776039464E-5</v>
      </c>
      <c r="K80" s="47">
        <f t="shared" si="11"/>
        <v>8.4301394263597211E-5</v>
      </c>
      <c r="L80" s="47">
        <f t="shared" si="12"/>
        <v>7.9864478776039464E-5</v>
      </c>
      <c r="M80" s="47">
        <f t="shared" si="13"/>
        <v>5.3242985850692974E-5</v>
      </c>
      <c r="N80" s="47">
        <f t="shared" si="14"/>
        <v>0</v>
      </c>
      <c r="O80" s="48">
        <f t="shared" si="15"/>
        <v>0</v>
      </c>
    </row>
    <row r="81" spans="1:15" ht="17" thickBot="1" x14ac:dyDescent="0.25">
      <c r="A81" s="37">
        <f>A80+$H$2</f>
        <v>18</v>
      </c>
      <c r="B81" s="34">
        <f t="shared" si="5"/>
        <v>1.3711149926805381E-27</v>
      </c>
      <c r="C81" s="34">
        <f t="shared" si="4"/>
        <v>5.0304031593983772E-4</v>
      </c>
      <c r="D81" s="36">
        <f t="shared" si="6"/>
        <v>1.4213156702746952E-10</v>
      </c>
      <c r="E81" s="34">
        <f t="shared" si="7"/>
        <v>4.5273638383795087E-4</v>
      </c>
      <c r="F81" s="42">
        <f t="shared" si="8"/>
        <v>4.3568342173586469E-5</v>
      </c>
      <c r="H81" s="54">
        <v>0.75</v>
      </c>
      <c r="I81" s="47">
        <f t="shared" si="9"/>
        <v>3.0497839521510526E-5</v>
      </c>
      <c r="J81" s="47">
        <f t="shared" si="10"/>
        <v>3.9211507956227822E-5</v>
      </c>
      <c r="K81" s="47">
        <f t="shared" si="11"/>
        <v>4.1389925064907142E-5</v>
      </c>
      <c r="L81" s="47">
        <f t="shared" si="12"/>
        <v>3.9211507956227822E-5</v>
      </c>
      <c r="M81" s="47">
        <f t="shared" si="13"/>
        <v>2.6141005304151882E-5</v>
      </c>
      <c r="N81" s="47">
        <f t="shared" si="14"/>
        <v>0</v>
      </c>
      <c r="O81" s="48">
        <f t="shared" si="15"/>
        <v>0</v>
      </c>
    </row>
    <row r="82" spans="1:15" ht="17" thickBot="1" x14ac:dyDescent="0.25">
      <c r="A82" s="37">
        <f>A81+$H$2</f>
        <v>18.25</v>
      </c>
      <c r="B82" s="34">
        <f t="shared" si="5"/>
        <v>2.943360443414749E-28</v>
      </c>
      <c r="C82" s="34">
        <f t="shared" si="4"/>
        <v>2.3985202055496057E-4</v>
      </c>
      <c r="D82" s="36">
        <f t="shared" si="6"/>
        <v>2.7318216064267523E-9</v>
      </c>
      <c r="E82" s="34">
        <f t="shared" si="7"/>
        <v>2.1586873077458901E-4</v>
      </c>
      <c r="F82" s="42">
        <f t="shared" si="8"/>
        <v>2.0773772691375919E-5</v>
      </c>
      <c r="H82" s="54">
        <v>0.76041666666666696</v>
      </c>
      <c r="I82" s="47">
        <f t="shared" si="9"/>
        <v>1.4541640883963143E-5</v>
      </c>
      <c r="J82" s="47">
        <f t="shared" si="10"/>
        <v>1.8696395422238327E-5</v>
      </c>
      <c r="K82" s="47">
        <f t="shared" si="11"/>
        <v>1.9735084056807122E-5</v>
      </c>
      <c r="L82" s="47">
        <f t="shared" si="12"/>
        <v>1.8696395422238327E-5</v>
      </c>
      <c r="M82" s="47">
        <f t="shared" si="13"/>
        <v>1.2464263614825552E-5</v>
      </c>
      <c r="N82" s="47">
        <f t="shared" si="14"/>
        <v>0</v>
      </c>
      <c r="O82" s="48">
        <f t="shared" si="15"/>
        <v>0</v>
      </c>
    </row>
    <row r="83" spans="1:15" ht="17" thickBot="1" x14ac:dyDescent="0.25">
      <c r="A83" s="37">
        <f>A82+$H$2</f>
        <v>18.5</v>
      </c>
      <c r="B83" s="34">
        <f t="shared" si="5"/>
        <v>6.3330079988671231E-29</v>
      </c>
      <c r="C83" s="34">
        <f t="shared" si="4"/>
        <v>1.1120910711392516E-4</v>
      </c>
      <c r="D83" s="36">
        <f t="shared" si="6"/>
        <v>4.1001980138806795E-8</v>
      </c>
      <c r="E83" s="34">
        <f t="shared" si="7"/>
        <v>1.001168977886298E-4</v>
      </c>
      <c r="F83" s="42">
        <f t="shared" si="8"/>
        <v>9.6345851933435117E-6</v>
      </c>
      <c r="H83" s="54">
        <v>0.77083333333333304</v>
      </c>
      <c r="I83" s="47">
        <f t="shared" si="9"/>
        <v>6.7442096353404573E-6</v>
      </c>
      <c r="J83" s="47">
        <f t="shared" si="10"/>
        <v>8.6711266740091614E-6</v>
      </c>
      <c r="K83" s="47">
        <f t="shared" si="11"/>
        <v>9.1528559336763357E-6</v>
      </c>
      <c r="L83" s="47">
        <f t="shared" si="12"/>
        <v>8.6711266740091614E-6</v>
      </c>
      <c r="M83" s="47">
        <f t="shared" si="13"/>
        <v>5.780751116006107E-6</v>
      </c>
      <c r="N83" s="47">
        <f t="shared" si="14"/>
        <v>0</v>
      </c>
      <c r="O83" s="48">
        <f t="shared" si="15"/>
        <v>0</v>
      </c>
    </row>
    <row r="84" spans="1:15" ht="17" thickBot="1" x14ac:dyDescent="0.25">
      <c r="A84" s="37">
        <f>A83+$H$2</f>
        <v>18.75</v>
      </c>
      <c r="B84" s="34">
        <f t="shared" si="5"/>
        <v>1.3660129194193825E-29</v>
      </c>
      <c r="C84" s="34">
        <f t="shared" si="4"/>
        <v>5.0204193628098827E-5</v>
      </c>
      <c r="D84" s="36">
        <f t="shared" si="6"/>
        <v>4.8509954597292646E-7</v>
      </c>
      <c r="E84" s="34">
        <f t="shared" si="7"/>
        <v>4.5523343947469997E-5</v>
      </c>
      <c r="F84" s="42">
        <f t="shared" si="8"/>
        <v>4.3808642220792991E-6</v>
      </c>
      <c r="H84" s="54">
        <v>0.78125</v>
      </c>
      <c r="I84" s="47">
        <f t="shared" si="9"/>
        <v>3.0666049554555092E-6</v>
      </c>
      <c r="J84" s="47">
        <f t="shared" si="10"/>
        <v>3.9427777998713693E-6</v>
      </c>
      <c r="K84" s="47">
        <f t="shared" si="11"/>
        <v>4.1618210109753342E-6</v>
      </c>
      <c r="L84" s="47">
        <f t="shared" si="12"/>
        <v>3.9427777998713693E-6</v>
      </c>
      <c r="M84" s="47">
        <f t="shared" si="13"/>
        <v>2.6285185332475794E-6</v>
      </c>
      <c r="N84" s="47">
        <f t="shared" si="14"/>
        <v>0</v>
      </c>
      <c r="O84" s="48">
        <f t="shared" si="15"/>
        <v>0</v>
      </c>
    </row>
    <row r="85" spans="1:15" ht="17" thickBot="1" x14ac:dyDescent="0.25">
      <c r="A85" s="37">
        <f>A84+$H$2</f>
        <v>19</v>
      </c>
      <c r="B85" s="34">
        <f t="shared" si="5"/>
        <v>2.9542881907747478E-30</v>
      </c>
      <c r="C85" s="34">
        <f t="shared" si="4"/>
        <v>2.2093325370782251E-5</v>
      </c>
      <c r="D85" s="36">
        <f t="shared" si="6"/>
        <v>4.5647761349250582E-6</v>
      </c>
      <c r="E85" s="34">
        <f t="shared" si="7"/>
        <v>2.3079336128151568E-5</v>
      </c>
      <c r="F85" s="42">
        <f t="shared" si="8"/>
        <v>2.2210019991024958E-6</v>
      </c>
      <c r="H85" s="54">
        <v>0.79166666666666696</v>
      </c>
      <c r="I85" s="47">
        <f t="shared" si="9"/>
        <v>1.5547013993717469E-6</v>
      </c>
      <c r="J85" s="47">
        <f t="shared" si="10"/>
        <v>1.9989017991922463E-6</v>
      </c>
      <c r="K85" s="47">
        <f t="shared" si="11"/>
        <v>2.1099518991473708E-6</v>
      </c>
      <c r="L85" s="47">
        <f t="shared" si="12"/>
        <v>1.9989017991922463E-6</v>
      </c>
      <c r="M85" s="47">
        <f t="shared" si="13"/>
        <v>1.3326011994614974E-6</v>
      </c>
      <c r="N85" s="47">
        <f t="shared" si="14"/>
        <v>0</v>
      </c>
      <c r="O85" s="48">
        <f t="shared" si="15"/>
        <v>0</v>
      </c>
    </row>
    <row r="86" spans="1:15" ht="17" thickBot="1" x14ac:dyDescent="0.25">
      <c r="A86" s="37">
        <f>A85+$H$2</f>
        <v>19.25</v>
      </c>
      <c r="B86" s="34">
        <f t="shared" si="5"/>
        <v>6.4072792507342642E-31</v>
      </c>
      <c r="C86" s="34">
        <f t="shared" si="4"/>
        <v>9.4884783737593956E-6</v>
      </c>
      <c r="D86" s="36">
        <f t="shared" si="6"/>
        <v>3.4456985230280385E-5</v>
      </c>
      <c r="E86" s="34">
        <f t="shared" si="7"/>
        <v>3.2659520197579728E-5</v>
      </c>
      <c r="F86" s="42">
        <f t="shared" si="8"/>
        <v>3.1429352753381137E-6</v>
      </c>
      <c r="H86" s="54">
        <v>0.80208333333333304</v>
      </c>
      <c r="I86" s="47">
        <f t="shared" si="9"/>
        <v>2.2000546927366793E-6</v>
      </c>
      <c r="J86" s="47">
        <f t="shared" si="10"/>
        <v>2.8286417478043025E-6</v>
      </c>
      <c r="K86" s="47">
        <f t="shared" si="11"/>
        <v>2.9857885115712079E-6</v>
      </c>
      <c r="L86" s="47">
        <f t="shared" si="12"/>
        <v>2.8286417478043025E-6</v>
      </c>
      <c r="M86" s="47">
        <f t="shared" si="13"/>
        <v>1.8857611652028681E-6</v>
      </c>
      <c r="N86" s="47">
        <f t="shared" si="14"/>
        <v>0</v>
      </c>
      <c r="O86" s="48">
        <f t="shared" si="15"/>
        <v>0</v>
      </c>
    </row>
    <row r="87" spans="1:15" ht="17" thickBot="1" x14ac:dyDescent="0.25">
      <c r="A87" s="37">
        <f>A86+$H$2</f>
        <v>19.5</v>
      </c>
      <c r="B87" s="34">
        <f t="shared" si="5"/>
        <v>1.3937388510934703E-31</v>
      </c>
      <c r="C87" s="34">
        <f t="shared" si="4"/>
        <v>3.9812100490699594E-6</v>
      </c>
      <c r="D87" s="36">
        <f t="shared" si="6"/>
        <v>2.1034828515452861E-4</v>
      </c>
      <c r="E87" s="34">
        <f t="shared" si="7"/>
        <v>1.5082688865233299E-4</v>
      </c>
      <c r="F87" s="42">
        <f t="shared" si="8"/>
        <v>1.4514577861129766E-5</v>
      </c>
      <c r="H87" s="54">
        <v>0.8125</v>
      </c>
      <c r="I87" s="47">
        <f t="shared" si="9"/>
        <v>1.0160204502790835E-5</v>
      </c>
      <c r="J87" s="47">
        <f t="shared" si="10"/>
        <v>1.306312007501679E-5</v>
      </c>
      <c r="K87" s="47">
        <f t="shared" si="11"/>
        <v>1.3788848968073277E-5</v>
      </c>
      <c r="L87" s="47">
        <f t="shared" si="12"/>
        <v>1.306312007501679E-5</v>
      </c>
      <c r="M87" s="47">
        <f t="shared" si="13"/>
        <v>8.7087467166778591E-6</v>
      </c>
      <c r="N87" s="47">
        <f t="shared" si="14"/>
        <v>0</v>
      </c>
      <c r="O87" s="48">
        <f t="shared" si="15"/>
        <v>0</v>
      </c>
    </row>
    <row r="88" spans="1:15" ht="17" thickBot="1" x14ac:dyDescent="0.25">
      <c r="A88" s="37">
        <f>A87+$H$2</f>
        <v>19.75</v>
      </c>
      <c r="B88" s="34">
        <f>IF(A88&gt;0,_xlfn.LOGNORM.DIST(A88,$B$2,$B$3,FALSE),0)</f>
        <v>3.0411333158100717E-32</v>
      </c>
      <c r="C88" s="34">
        <f>IF(A88&gt;0,_xlfn.LOGNORM.DIST(A88,$D$2,$D$3,FALSE),0)</f>
        <v>1.6336628481645851E-6</v>
      </c>
      <c r="D88" s="36">
        <f t="shared" si="6"/>
        <v>1.0465916751318189E-3</v>
      </c>
      <c r="E88" s="34">
        <f t="shared" si="7"/>
        <v>7.3408446915562134E-4</v>
      </c>
      <c r="F88" s="42">
        <f t="shared" si="8"/>
        <v>7.0643412984310521E-5</v>
      </c>
      <c r="H88" s="54">
        <v>0.82291666666666696</v>
      </c>
      <c r="I88" s="47">
        <f t="shared" si="9"/>
        <v>4.9450389089017362E-5</v>
      </c>
      <c r="J88" s="47">
        <f t="shared" si="10"/>
        <v>6.3579071685879477E-5</v>
      </c>
      <c r="K88" s="47">
        <f t="shared" si="11"/>
        <v>6.7111242335094986E-5</v>
      </c>
      <c r="L88" s="47">
        <f t="shared" si="12"/>
        <v>6.3579071685879477E-5</v>
      </c>
      <c r="M88" s="47">
        <f t="shared" si="13"/>
        <v>4.2386047790586311E-5</v>
      </c>
      <c r="N88" s="47">
        <f t="shared" si="14"/>
        <v>0</v>
      </c>
      <c r="O88" s="48">
        <f t="shared" si="15"/>
        <v>0</v>
      </c>
    </row>
    <row r="89" spans="1:15" ht="17" thickBot="1" x14ac:dyDescent="0.25">
      <c r="A89" s="37">
        <f>A88+$H$2</f>
        <v>20</v>
      </c>
      <c r="B89" s="34">
        <f t="shared" ref="B89:B104" si="16">IF(A89&gt;0,_xlfn.LOGNORM.DIST(A89,$B$2,$B$3,FALSE),0)</f>
        <v>6.6571846983472083E-33</v>
      </c>
      <c r="C89" s="34">
        <f t="shared" ref="C89:C104" si="17">IF(A89&gt;0,_xlfn.LOGNORM.DIST(A89,$D$2,$D$3,FALSE),0)</f>
        <v>6.5624023988102292E-7</v>
      </c>
      <c r="D89" s="36">
        <f t="shared" si="6"/>
        <v>4.2757470183058827E-3</v>
      </c>
      <c r="E89" s="34">
        <f t="shared" si="7"/>
        <v>2.9936135290300108E-3</v>
      </c>
      <c r="F89" s="42">
        <f t="shared" si="8"/>
        <v>2.8808548025806833E-4</v>
      </c>
      <c r="H89" s="54">
        <v>0.83333333333333304</v>
      </c>
      <c r="I89" s="47">
        <f t="shared" si="9"/>
        <v>2.0165983618064781E-4</v>
      </c>
      <c r="J89" s="47">
        <f t="shared" si="10"/>
        <v>2.5927693223226151E-4</v>
      </c>
      <c r="K89" s="47">
        <f t="shared" si="11"/>
        <v>2.7368120624516489E-4</v>
      </c>
      <c r="L89" s="47">
        <f t="shared" si="12"/>
        <v>2.5927693223226151E-4</v>
      </c>
      <c r="M89" s="47">
        <f t="shared" si="13"/>
        <v>1.7285128815484099E-4</v>
      </c>
      <c r="N89" s="47">
        <f t="shared" si="14"/>
        <v>0</v>
      </c>
      <c r="O89" s="48">
        <f t="shared" si="15"/>
        <v>0</v>
      </c>
    </row>
    <row r="90" spans="1:15" ht="17" thickBot="1" x14ac:dyDescent="0.25">
      <c r="A90" s="37">
        <f>A89+$H$2</f>
        <v>20.25</v>
      </c>
      <c r="B90" s="34">
        <f t="shared" si="16"/>
        <v>1.4621684639596907E-33</v>
      </c>
      <c r="C90" s="34">
        <f t="shared" si="17"/>
        <v>2.582975861149841E-7</v>
      </c>
      <c r="D90" s="36">
        <f t="shared" si="6"/>
        <v>1.4445036754959058E-2</v>
      </c>
      <c r="E90" s="34">
        <f t="shared" si="7"/>
        <v>1.0111758196298844E-2</v>
      </c>
      <c r="F90" s="42">
        <f t="shared" si="8"/>
        <v>9.7308843910058639E-4</v>
      </c>
      <c r="H90" s="54">
        <v>0.84375</v>
      </c>
      <c r="I90" s="47">
        <f t="shared" si="9"/>
        <v>6.8116190737041048E-4</v>
      </c>
      <c r="J90" s="47">
        <f t="shared" si="10"/>
        <v>8.7577959519052776E-4</v>
      </c>
      <c r="K90" s="47">
        <f t="shared" si="11"/>
        <v>9.2443401714555702E-4</v>
      </c>
      <c r="L90" s="47">
        <f t="shared" si="12"/>
        <v>8.7577959519052776E-4</v>
      </c>
      <c r="M90" s="47">
        <f t="shared" si="13"/>
        <v>5.8385306346035184E-4</v>
      </c>
      <c r="N90" s="47">
        <f t="shared" si="14"/>
        <v>0</v>
      </c>
      <c r="O90" s="48">
        <f t="shared" si="15"/>
        <v>0</v>
      </c>
    </row>
    <row r="91" spans="1:15" ht="17" thickBot="1" x14ac:dyDescent="0.25">
      <c r="A91" s="37">
        <f>A90+$H$2</f>
        <v>20.5</v>
      </c>
      <c r="B91" s="34">
        <f t="shared" si="16"/>
        <v>3.2225710353338613E-34</v>
      </c>
      <c r="C91" s="34">
        <f t="shared" si="17"/>
        <v>9.9705648949724734E-8</v>
      </c>
      <c r="D91" s="36">
        <f t="shared" si="6"/>
        <v>4.0629022302706312E-2</v>
      </c>
      <c r="E91" s="34">
        <f t="shared" si="7"/>
        <v>2.8440405346978472E-2</v>
      </c>
      <c r="F91" s="42">
        <f t="shared" si="8"/>
        <v>2.7369156885702632E-3</v>
      </c>
      <c r="H91" s="54">
        <v>0.85416666666666696</v>
      </c>
      <c r="I91" s="47">
        <f t="shared" si="9"/>
        <v>1.915840981999184E-3</v>
      </c>
      <c r="J91" s="47">
        <f t="shared" si="10"/>
        <v>2.4632241197132371E-3</v>
      </c>
      <c r="K91" s="47">
        <f t="shared" si="11"/>
        <v>2.6000699041417497E-3</v>
      </c>
      <c r="L91" s="47">
        <f t="shared" si="12"/>
        <v>2.4632241197132371E-3</v>
      </c>
      <c r="M91" s="47">
        <f t="shared" si="13"/>
        <v>1.6421494131421579E-3</v>
      </c>
      <c r="N91" s="47">
        <f t="shared" si="14"/>
        <v>0</v>
      </c>
      <c r="O91" s="48">
        <f t="shared" si="15"/>
        <v>0</v>
      </c>
    </row>
    <row r="92" spans="1:15" ht="17" thickBot="1" x14ac:dyDescent="0.25">
      <c r="A92" s="37">
        <f>A91+$H$2</f>
        <v>20.75</v>
      </c>
      <c r="B92" s="34">
        <f t="shared" si="16"/>
        <v>7.1276901038583219E-35</v>
      </c>
      <c r="C92" s="34">
        <f t="shared" si="17"/>
        <v>3.7777040255980756E-8</v>
      </c>
      <c r="D92" s="36">
        <f t="shared" si="6"/>
        <v>9.575807456082111E-2</v>
      </c>
      <c r="E92" s="34">
        <f t="shared" si="7"/>
        <v>6.7030686191911007E-2</v>
      </c>
      <c r="F92" s="42">
        <f t="shared" si="8"/>
        <v>6.4505879721493487E-3</v>
      </c>
      <c r="H92" s="54">
        <v>0.86458333333333304</v>
      </c>
      <c r="I92" s="47">
        <f t="shared" si="9"/>
        <v>4.5154115805045442E-3</v>
      </c>
      <c r="J92" s="47">
        <f t="shared" si="10"/>
        <v>5.8055291749344136E-3</v>
      </c>
      <c r="K92" s="47">
        <f t="shared" si="11"/>
        <v>6.1280585735418811E-3</v>
      </c>
      <c r="L92" s="47">
        <f t="shared" si="12"/>
        <v>5.8055291749344136E-3</v>
      </c>
      <c r="M92" s="47">
        <f t="shared" si="13"/>
        <v>3.870352783289609E-3</v>
      </c>
      <c r="N92" s="47">
        <f t="shared" si="14"/>
        <v>0</v>
      </c>
      <c r="O92" s="48">
        <f t="shared" si="15"/>
        <v>0</v>
      </c>
    </row>
    <row r="93" spans="1:15" ht="17" thickBot="1" x14ac:dyDescent="0.25">
      <c r="A93" s="37">
        <f>A92+$H$2</f>
        <v>21</v>
      </c>
      <c r="B93" s="34">
        <f t="shared" si="16"/>
        <v>1.5822527381144126E-35</v>
      </c>
      <c r="C93" s="34">
        <f t="shared" si="17"/>
        <v>1.4060301388234555E-8</v>
      </c>
      <c r="D93" s="36">
        <f t="shared" si="6"/>
        <v>0.19029354272930227</v>
      </c>
      <c r="E93" s="34">
        <f t="shared" si="7"/>
        <v>0.13320549256478281</v>
      </c>
      <c r="F93" s="42">
        <f t="shared" si="8"/>
        <v>1.2818811755895597E-2</v>
      </c>
      <c r="H93" s="54">
        <v>0.875</v>
      </c>
      <c r="I93" s="47">
        <f t="shared" si="9"/>
        <v>8.9731682291269172E-3</v>
      </c>
      <c r="J93" s="47">
        <f t="shared" si="10"/>
        <v>1.1536930580306038E-2</v>
      </c>
      <c r="K93" s="47">
        <f t="shared" si="11"/>
        <v>1.2177871168100816E-2</v>
      </c>
      <c r="L93" s="47">
        <f t="shared" si="12"/>
        <v>1.1536930580306038E-2</v>
      </c>
      <c r="M93" s="47">
        <f t="shared" si="13"/>
        <v>7.6912870535373584E-3</v>
      </c>
      <c r="N93" s="47">
        <f t="shared" si="14"/>
        <v>0</v>
      </c>
      <c r="O93" s="48">
        <f t="shared" si="15"/>
        <v>0</v>
      </c>
    </row>
    <row r="94" spans="1:15" ht="17" thickBot="1" x14ac:dyDescent="0.25">
      <c r="A94" s="37">
        <f>A93+$H$2</f>
        <v>21.25</v>
      </c>
      <c r="B94" s="34">
        <f t="shared" si="16"/>
        <v>3.5254937659774075E-36</v>
      </c>
      <c r="C94" s="34">
        <f t="shared" si="17"/>
        <v>5.1446231507030453E-9</v>
      </c>
      <c r="D94" s="36">
        <f t="shared" si="6"/>
        <v>0.32074151924779387</v>
      </c>
      <c r="E94" s="34">
        <f t="shared" si="7"/>
        <v>0.22451906810361652</v>
      </c>
      <c r="F94" s="42">
        <f t="shared" si="8"/>
        <v>2.1606223694039129E-2</v>
      </c>
      <c r="H94" s="54">
        <v>0.88541666666666696</v>
      </c>
      <c r="I94" s="47">
        <f t="shared" si="9"/>
        <v>1.5124356585827389E-2</v>
      </c>
      <c r="J94" s="47">
        <f t="shared" si="10"/>
        <v>1.9445601324635218E-2</v>
      </c>
      <c r="K94" s="47">
        <f t="shared" si="11"/>
        <v>2.052591250933717E-2</v>
      </c>
      <c r="L94" s="47">
        <f t="shared" si="12"/>
        <v>1.9445601324635218E-2</v>
      </c>
      <c r="M94" s="47">
        <f t="shared" si="13"/>
        <v>1.2963734216423477E-2</v>
      </c>
      <c r="N94" s="47">
        <f t="shared" si="14"/>
        <v>0</v>
      </c>
      <c r="O94" s="48">
        <f t="shared" si="15"/>
        <v>0</v>
      </c>
    </row>
    <row r="95" spans="1:15" ht="17" thickBot="1" x14ac:dyDescent="0.25">
      <c r="A95" s="37">
        <f>A94+$H$2</f>
        <v>21.5</v>
      </c>
      <c r="B95" s="34">
        <f t="shared" si="16"/>
        <v>7.8852309499768127E-37</v>
      </c>
      <c r="C95" s="34">
        <f t="shared" si="17"/>
        <v>1.8519243124312622E-9</v>
      </c>
      <c r="D95" s="36">
        <f t="shared" si="6"/>
        <v>0.46113951169908224</v>
      </c>
      <c r="E95" s="34">
        <f t="shared" si="7"/>
        <v>0.32279765985608944</v>
      </c>
      <c r="F95" s="42">
        <f t="shared" si="8"/>
        <v>3.1063902525839321E-2</v>
      </c>
      <c r="H95" s="54">
        <v>0.89583333333333304</v>
      </c>
      <c r="I95" s="47">
        <f t="shared" si="9"/>
        <v>2.1744731768087524E-2</v>
      </c>
      <c r="J95" s="47">
        <f t="shared" si="10"/>
        <v>2.7957512273255391E-2</v>
      </c>
      <c r="K95" s="47">
        <f t="shared" si="11"/>
        <v>2.9510707399547354E-2</v>
      </c>
      <c r="L95" s="47">
        <f t="shared" si="12"/>
        <v>2.7957512273255391E-2</v>
      </c>
      <c r="M95" s="47">
        <f t="shared" si="13"/>
        <v>1.863834151550359E-2</v>
      </c>
      <c r="N95" s="47">
        <f t="shared" si="14"/>
        <v>0</v>
      </c>
      <c r="O95" s="48">
        <f t="shared" si="15"/>
        <v>0</v>
      </c>
    </row>
    <row r="96" spans="1:15" ht="17" thickBot="1" x14ac:dyDescent="0.25">
      <c r="A96" s="37">
        <f>A95+$H$2</f>
        <v>21.75</v>
      </c>
      <c r="B96" s="34">
        <f t="shared" si="16"/>
        <v>1.7704749564099128E-37</v>
      </c>
      <c r="C96" s="34">
        <f t="shared" si="17"/>
        <v>6.5630805333008147E-10</v>
      </c>
      <c r="D96" s="36">
        <f t="shared" si="6"/>
        <v>0.56861122907437844</v>
      </c>
      <c r="E96" s="34">
        <f t="shared" si="7"/>
        <v>0.39802786094274212</v>
      </c>
      <c r="F96" s="42">
        <f t="shared" si="8"/>
        <v>3.830355734426933E-2</v>
      </c>
      <c r="H96" s="54">
        <v>0.90625</v>
      </c>
      <c r="I96" s="47">
        <f t="shared" si="9"/>
        <v>2.6812490140988531E-2</v>
      </c>
      <c r="J96" s="47">
        <f t="shared" si="10"/>
        <v>3.4473201609842401E-2</v>
      </c>
      <c r="K96" s="47">
        <f t="shared" si="11"/>
        <v>3.6388379477055866E-2</v>
      </c>
      <c r="L96" s="47">
        <f t="shared" si="12"/>
        <v>3.4473201609842401E-2</v>
      </c>
      <c r="M96" s="47">
        <f t="shared" si="13"/>
        <v>2.2982134406561598E-2</v>
      </c>
      <c r="N96" s="47">
        <f t="shared" si="14"/>
        <v>0</v>
      </c>
      <c r="O96" s="48">
        <f t="shared" si="15"/>
        <v>0</v>
      </c>
    </row>
    <row r="97" spans="1:15" ht="17" thickBot="1" x14ac:dyDescent="0.25">
      <c r="A97" s="37">
        <f>A96+$H$2</f>
        <v>22</v>
      </c>
      <c r="B97" s="34">
        <f t="shared" si="16"/>
        <v>3.9909288475554297E-38</v>
      </c>
      <c r="C97" s="34">
        <f t="shared" si="17"/>
        <v>2.291382340887708E-10</v>
      </c>
      <c r="D97" s="36">
        <f t="shared" si="6"/>
        <v>0.60445800060823129</v>
      </c>
      <c r="E97" s="34">
        <f t="shared" si="7"/>
        <v>0.42312060063198631</v>
      </c>
      <c r="F97" s="42">
        <f t="shared" si="8"/>
        <v>4.0718315927588837E-2</v>
      </c>
      <c r="H97" s="54">
        <v>0.91666666666666696</v>
      </c>
      <c r="I97" s="47">
        <f t="shared" si="9"/>
        <v>2.8502821149312185E-2</v>
      </c>
      <c r="J97" s="47">
        <f t="shared" si="10"/>
        <v>3.6646484334829955E-2</v>
      </c>
      <c r="K97" s="47">
        <f t="shared" si="11"/>
        <v>3.8682400131209396E-2</v>
      </c>
      <c r="L97" s="47">
        <f t="shared" si="12"/>
        <v>3.6646484334829955E-2</v>
      </c>
      <c r="M97" s="47">
        <f t="shared" si="13"/>
        <v>2.44309895565533E-2</v>
      </c>
      <c r="N97" s="47">
        <f t="shared" si="14"/>
        <v>0</v>
      </c>
      <c r="O97" s="48">
        <f t="shared" si="15"/>
        <v>0</v>
      </c>
    </row>
    <row r="98" spans="1:15" ht="17" thickBot="1" x14ac:dyDescent="0.25">
      <c r="A98" s="37">
        <f>A97+$H$2</f>
        <v>22.25</v>
      </c>
      <c r="B98" s="34">
        <f t="shared" si="16"/>
        <v>9.0321781503827447E-39</v>
      </c>
      <c r="C98" s="34">
        <f t="shared" si="17"/>
        <v>7.8862460277937388E-11</v>
      </c>
      <c r="D98" s="36">
        <f t="shared" si="6"/>
        <v>0.55674054834865394</v>
      </c>
      <c r="E98" s="34">
        <f t="shared" si="7"/>
        <v>0.38971838391503394</v>
      </c>
      <c r="F98" s="42">
        <f t="shared" si="8"/>
        <v>3.7503908472761076E-2</v>
      </c>
      <c r="H98" s="54">
        <v>0.92708333333333304</v>
      </c>
      <c r="I98" s="47">
        <f t="shared" si="9"/>
        <v>2.625273593093275E-2</v>
      </c>
      <c r="J98" s="47">
        <f t="shared" si="10"/>
        <v>3.3753517625484966E-2</v>
      </c>
      <c r="K98" s="47">
        <f t="shared" si="11"/>
        <v>3.5628713049123018E-2</v>
      </c>
      <c r="L98" s="47">
        <f t="shared" si="12"/>
        <v>3.3753517625484966E-2</v>
      </c>
      <c r="M98" s="47">
        <f t="shared" si="13"/>
        <v>2.2502345083656644E-2</v>
      </c>
      <c r="N98" s="47">
        <f t="shared" si="14"/>
        <v>0</v>
      </c>
      <c r="O98" s="48">
        <f t="shared" si="15"/>
        <v>0</v>
      </c>
    </row>
    <row r="99" spans="1:15" ht="17" thickBot="1" x14ac:dyDescent="0.25">
      <c r="A99" s="37">
        <f>A98+$H$2</f>
        <v>22.5</v>
      </c>
      <c r="B99" s="34">
        <f t="shared" si="16"/>
        <v>2.0524308085877049E-39</v>
      </c>
      <c r="C99" s="34">
        <f t="shared" si="17"/>
        <v>2.6772652648006931E-11</v>
      </c>
      <c r="D99" s="36">
        <f t="shared" si="6"/>
        <v>0.44643219427114961</v>
      </c>
      <c r="E99" s="34">
        <f t="shared" si="7"/>
        <v>0.3125025360139001</v>
      </c>
      <c r="F99" s="42">
        <f t="shared" si="8"/>
        <v>3.0073168195027283E-2</v>
      </c>
      <c r="H99" s="54">
        <v>0.9375</v>
      </c>
      <c r="I99" s="47">
        <f t="shared" si="9"/>
        <v>2.1051217736519096E-2</v>
      </c>
      <c r="J99" s="47">
        <f t="shared" si="10"/>
        <v>2.7065851375524554E-2</v>
      </c>
      <c r="K99" s="47">
        <f t="shared" si="11"/>
        <v>2.8569509785275917E-2</v>
      </c>
      <c r="L99" s="47">
        <f t="shared" si="12"/>
        <v>2.7065851375524554E-2</v>
      </c>
      <c r="M99" s="47">
        <f t="shared" si="13"/>
        <v>1.8043900917016371E-2</v>
      </c>
      <c r="N99" s="47">
        <f t="shared" si="14"/>
        <v>0</v>
      </c>
      <c r="O99" s="48">
        <f t="shared" si="15"/>
        <v>0</v>
      </c>
    </row>
    <row r="100" spans="1:15" ht="17" thickBot="1" x14ac:dyDescent="0.25">
      <c r="A100" s="37">
        <f>A99+$H$2</f>
        <v>22.75</v>
      </c>
      <c r="B100" s="34">
        <f t="shared" si="16"/>
        <v>4.6829891473958307E-40</v>
      </c>
      <c r="C100" s="34">
        <f t="shared" si="17"/>
        <v>8.9704580648680887E-12</v>
      </c>
      <c r="D100" s="36">
        <f t="shared" si="6"/>
        <v>0.31309051727431941</v>
      </c>
      <c r="E100" s="34">
        <f t="shared" si="7"/>
        <v>0.21916336210009699</v>
      </c>
      <c r="F100" s="42">
        <f t="shared" si="8"/>
        <v>2.1090826124786136E-2</v>
      </c>
      <c r="H100" s="54">
        <v>0.94791666666666696</v>
      </c>
      <c r="I100" s="47">
        <f t="shared" si="9"/>
        <v>1.4763578287350294E-2</v>
      </c>
      <c r="J100" s="47">
        <f t="shared" si="10"/>
        <v>1.8981743512307522E-2</v>
      </c>
      <c r="K100" s="47">
        <f t="shared" si="11"/>
        <v>2.0036284818546829E-2</v>
      </c>
      <c r="L100" s="47">
        <f t="shared" si="12"/>
        <v>1.8981743512307522E-2</v>
      </c>
      <c r="M100" s="47">
        <f t="shared" si="13"/>
        <v>1.2654495674871681E-2</v>
      </c>
      <c r="N100" s="47">
        <f t="shared" si="14"/>
        <v>0</v>
      </c>
      <c r="O100" s="48">
        <f t="shared" si="15"/>
        <v>0</v>
      </c>
    </row>
    <row r="101" spans="1:15" ht="17" thickBot="1" x14ac:dyDescent="0.25">
      <c r="A101" s="37">
        <f>A100+$H$2</f>
        <v>23</v>
      </c>
      <c r="B101" s="34">
        <f t="shared" si="16"/>
        <v>1.072940048208457E-40</v>
      </c>
      <c r="C101" s="34">
        <f t="shared" si="17"/>
        <v>2.9681292245383171E-12</v>
      </c>
      <c r="D101" s="36">
        <f t="shared" si="6"/>
        <v>0.1928910107916956</v>
      </c>
      <c r="E101" s="34">
        <f t="shared" si="7"/>
        <v>0.13502370755685822</v>
      </c>
      <c r="F101" s="42">
        <f t="shared" si="8"/>
        <v>1.2993784688815962E-2</v>
      </c>
      <c r="H101" s="54">
        <v>0.95833333333333304</v>
      </c>
      <c r="I101" s="47">
        <f t="shared" si="9"/>
        <v>9.0956492821711726E-3</v>
      </c>
      <c r="J101" s="47">
        <f t="shared" si="10"/>
        <v>1.1694406219934367E-2</v>
      </c>
      <c r="K101" s="47">
        <f t="shared" si="11"/>
        <v>1.2344095454375164E-2</v>
      </c>
      <c r="L101" s="47">
        <f t="shared" si="12"/>
        <v>1.1694406219934367E-2</v>
      </c>
      <c r="M101" s="47">
        <f t="shared" si="13"/>
        <v>7.7962708132895773E-3</v>
      </c>
      <c r="N101" s="47">
        <f t="shared" si="14"/>
        <v>0</v>
      </c>
      <c r="O101" s="48">
        <f t="shared" si="15"/>
        <v>0</v>
      </c>
    </row>
    <row r="102" spans="1:15" ht="17" thickBot="1" x14ac:dyDescent="0.25">
      <c r="A102" s="37">
        <f>A101+$H$2</f>
        <v>23.25</v>
      </c>
      <c r="B102" s="34">
        <f t="shared" si="16"/>
        <v>2.4685541361840564E-41</v>
      </c>
      <c r="C102" s="34">
        <f t="shared" si="17"/>
        <v>9.7034991181546639E-13</v>
      </c>
      <c r="D102" s="36">
        <f t="shared" si="6"/>
        <v>0.1048387060700381</v>
      </c>
      <c r="E102" s="34">
        <f t="shared" si="7"/>
        <v>7.338709424989999E-2</v>
      </c>
      <c r="F102" s="42">
        <f t="shared" si="8"/>
        <v>7.062286459727788E-3</v>
      </c>
      <c r="H102" s="54">
        <v>0.96875</v>
      </c>
      <c r="I102" s="47">
        <f t="shared" si="9"/>
        <v>4.9436005218094509E-3</v>
      </c>
      <c r="J102" s="47">
        <f t="shared" si="10"/>
        <v>6.3560578137550096E-3</v>
      </c>
      <c r="K102" s="47">
        <f t="shared" si="11"/>
        <v>6.7091721367413979E-3</v>
      </c>
      <c r="L102" s="47">
        <f t="shared" si="12"/>
        <v>6.3560578137550096E-3</v>
      </c>
      <c r="M102" s="47">
        <f t="shared" si="13"/>
        <v>4.2373718758366725E-3</v>
      </c>
      <c r="N102" s="47">
        <f t="shared" si="14"/>
        <v>0</v>
      </c>
      <c r="O102" s="48">
        <f t="shared" si="15"/>
        <v>0</v>
      </c>
    </row>
    <row r="103" spans="1:15" ht="17" thickBot="1" x14ac:dyDescent="0.25">
      <c r="A103" s="37">
        <f>A102+$H$2</f>
        <v>23.5</v>
      </c>
      <c r="B103" s="34">
        <f t="shared" si="16"/>
        <v>5.7034839312724353E-42</v>
      </c>
      <c r="C103" s="34">
        <f t="shared" si="17"/>
        <v>3.1359839948051889E-13</v>
      </c>
      <c r="D103" s="36">
        <f t="shared" si="6"/>
        <v>5.0473861204965151E-2</v>
      </c>
      <c r="E103" s="34">
        <f t="shared" si="7"/>
        <v>3.5331702843757841E-2</v>
      </c>
      <c r="F103" s="42">
        <f t="shared" si="8"/>
        <v>3.4000883826100911E-3</v>
      </c>
      <c r="H103" s="54">
        <v>0.97916666666666696</v>
      </c>
      <c r="I103" s="47">
        <f t="shared" si="9"/>
        <v>2.3800618678270634E-3</v>
      </c>
      <c r="J103" s="47">
        <f t="shared" si="10"/>
        <v>3.0600795443490821E-3</v>
      </c>
      <c r="K103" s="47">
        <f t="shared" si="11"/>
        <v>3.2300839634795864E-3</v>
      </c>
      <c r="L103" s="47">
        <f t="shared" si="12"/>
        <v>3.0600795443490821E-3</v>
      </c>
      <c r="M103" s="47">
        <f t="shared" si="13"/>
        <v>2.0400530295660545E-3</v>
      </c>
      <c r="N103" s="47">
        <f t="shared" si="14"/>
        <v>0</v>
      </c>
      <c r="O103" s="48">
        <f t="shared" si="15"/>
        <v>0</v>
      </c>
    </row>
    <row r="104" spans="1:15" ht="17" thickBot="1" x14ac:dyDescent="0.25">
      <c r="A104" s="37">
        <f>A103+$H$2</f>
        <v>23.75</v>
      </c>
      <c r="B104" s="34">
        <f t="shared" si="16"/>
        <v>1.3233721542890903E-42</v>
      </c>
      <c r="C104" s="34">
        <f t="shared" si="17"/>
        <v>1.0023798513882904E-13</v>
      </c>
      <c r="D104" s="36">
        <f t="shared" si="6"/>
        <v>2.1609535268543131E-2</v>
      </c>
      <c r="E104" s="34">
        <f t="shared" si="7"/>
        <v>1.5126674688070406E-2</v>
      </c>
      <c r="F104" s="42">
        <f t="shared" si="8"/>
        <v>1.455690689516737E-3</v>
      </c>
      <c r="H104" s="54">
        <v>0.98958333333333304</v>
      </c>
      <c r="I104" s="47">
        <f t="shared" si="9"/>
        <v>1.0189834826617159E-3</v>
      </c>
      <c r="J104" s="47">
        <f t="shared" si="10"/>
        <v>1.3101216205650633E-3</v>
      </c>
      <c r="K104" s="47">
        <f t="shared" si="11"/>
        <v>1.3829061550409002E-3</v>
      </c>
      <c r="L104" s="47">
        <f t="shared" si="12"/>
        <v>1.3101216205650633E-3</v>
      </c>
      <c r="M104" s="47">
        <f t="shared" si="13"/>
        <v>8.7341441371004223E-4</v>
      </c>
      <c r="N104" s="47">
        <f t="shared" si="14"/>
        <v>0</v>
      </c>
      <c r="O104" s="48">
        <f t="shared" si="15"/>
        <v>0</v>
      </c>
    </row>
    <row r="105" spans="1:15" ht="17" thickBot="1" x14ac:dyDescent="0.25">
      <c r="A105" s="38" t="s">
        <v>41</v>
      </c>
      <c r="B105" s="43">
        <f>SUM(B9:B104)</f>
        <v>4</v>
      </c>
      <c r="C105" s="43">
        <f t="shared" ref="C105:F105" si="18">SUM(C9:C104)</f>
        <v>3.9999999999999529</v>
      </c>
      <c r="D105" s="43">
        <f t="shared" si="18"/>
        <v>3.9877245479279742</v>
      </c>
      <c r="E105" s="43">
        <f t="shared" si="18"/>
        <v>10.391407183549541</v>
      </c>
      <c r="F105" s="44">
        <f t="shared" si="18"/>
        <v>1.0000000000000002</v>
      </c>
      <c r="G105" s="34"/>
      <c r="H105" s="55" t="s">
        <v>41</v>
      </c>
      <c r="I105" s="49">
        <f t="shared" ref="I105:O105" si="19">SUM(I9:I104)</f>
        <v>0.70000000000000007</v>
      </c>
      <c r="J105" s="49">
        <f t="shared" si="19"/>
        <v>0.89999999999999991</v>
      </c>
      <c r="K105" s="49">
        <f t="shared" si="19"/>
        <v>0.94999999999999962</v>
      </c>
      <c r="L105" s="49">
        <f t="shared" si="19"/>
        <v>0.89999999999999991</v>
      </c>
      <c r="M105" s="49">
        <f t="shared" si="19"/>
        <v>0.6</v>
      </c>
      <c r="N105" s="49">
        <f t="shared" si="19"/>
        <v>0</v>
      </c>
      <c r="O105" s="50">
        <f t="shared" si="19"/>
        <v>0</v>
      </c>
    </row>
  </sheetData>
  <mergeCells count="1">
    <mergeCell ref="A1:E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Retail, Autobahn, Logistik</vt:lpstr>
      <vt:lpstr>Büro</vt:lpstr>
      <vt:lpstr>Industrie-2</vt:lpstr>
      <vt:lpstr>Industrie-3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Grau</dc:creator>
  <cp:lastModifiedBy>Andre Grau</cp:lastModifiedBy>
  <dcterms:created xsi:type="dcterms:W3CDTF">2025-11-09T19:05:55Z</dcterms:created>
  <dcterms:modified xsi:type="dcterms:W3CDTF">2025-11-14T11:21:09Z</dcterms:modified>
</cp:coreProperties>
</file>